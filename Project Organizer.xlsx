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ombination" sheetId="2" r:id="rId5"/>
    <sheet state="visible" name="Sara Carrolli" sheetId="3" r:id="rId6"/>
    <sheet state="visible" name="Hailey in Bookland" sheetId="4" r:id="rId7"/>
    <sheet state="visible" name="Haley Pham" sheetId="5" r:id="rId8"/>
    <sheet state="visible" name="BooksandLala" sheetId="6" r:id="rId9"/>
    <sheet state="visible" name="Emma Snyder" sheetId="7" r:id="rId10"/>
    <sheet state="visible" name="Syd BookWorrom" sheetId="8" r:id="rId11"/>
    <sheet state="visible" name="abookolive" sheetId="9" r:id="rId12"/>
    <sheet state="visible" name="gabbyreads" sheetId="10" r:id="rId13"/>
    <sheet state="visible" name="Katytastic" sheetId="11" r:id="rId14"/>
    <sheet state="visible" name="onceuponanemilyreads" sheetId="12" r:id="rId15"/>
  </sheets>
  <definedNames>
    <definedName hidden="1" localSheetId="1" name="_xlnm._FilterDatabase">Combination!$A$1:$T$101</definedName>
  </definedNames>
  <calcPr/>
</workbook>
</file>

<file path=xl/sharedStrings.xml><?xml version="1.0" encoding="utf-8"?>
<sst xmlns="http://schemas.openxmlformats.org/spreadsheetml/2006/main" count="1094" uniqueCount="214">
  <si>
    <t>Name</t>
  </si>
  <si>
    <t>Channel</t>
  </si>
  <si>
    <t>Platform</t>
  </si>
  <si>
    <t>Account Age</t>
  </si>
  <si>
    <t>Subscribers</t>
  </si>
  <si>
    <t># of videos</t>
  </si>
  <si>
    <t>Total Views</t>
  </si>
  <si>
    <t>Gender</t>
  </si>
  <si>
    <t>Ethnicity</t>
  </si>
  <si>
    <t>Age Range</t>
  </si>
  <si>
    <t>Geographic Region</t>
  </si>
  <si>
    <t>Content</t>
  </si>
  <si>
    <t>Sara Carrolli</t>
  </si>
  <si>
    <t>https://www.youtube.com/@SaraCarrolli</t>
  </si>
  <si>
    <t>YouTube</t>
  </si>
  <si>
    <t>Female</t>
  </si>
  <si>
    <t>White</t>
  </si>
  <si>
    <t>20-30</t>
  </si>
  <si>
    <t>USA</t>
  </si>
  <si>
    <t>Books/Lifestyle</t>
  </si>
  <si>
    <t>Hailey in Bookland</t>
  </si>
  <si>
    <t>https://www.youtube.com/@HaileyinBookland/videos</t>
  </si>
  <si>
    <t>Haley Pham</t>
  </si>
  <si>
    <t>https://www.youtube.com/@haleypham/videos</t>
  </si>
  <si>
    <t>BooksandLala</t>
  </si>
  <si>
    <t>https://www.youtube.com/@BooksandLala/videos</t>
  </si>
  <si>
    <t>Books</t>
  </si>
  <si>
    <t>Emma Snyder</t>
  </si>
  <si>
    <t>https://www.youtube.com/@emsnyde/videos</t>
  </si>
  <si>
    <t>Syd BookWorrom</t>
  </si>
  <si>
    <t>https://www.youtube.com/@SydBookWorrom/videos</t>
  </si>
  <si>
    <t>abookolive</t>
  </si>
  <si>
    <t>https://www.youtube.com/@abookolive/videos</t>
  </si>
  <si>
    <t>gabbyreads</t>
  </si>
  <si>
    <t>https://www.youtube.com/@gabbyreads/videos</t>
  </si>
  <si>
    <t>Katytastic</t>
  </si>
  <si>
    <t>https://www.youtube.com/@Katytastic/videos</t>
  </si>
  <si>
    <t>onceuponanemilyreads</t>
  </si>
  <si>
    <t>https://www.youtube.com/@onceuponanemilyreads/videos</t>
  </si>
  <si>
    <t>Channel_ID</t>
  </si>
  <si>
    <t>Video_ID</t>
  </si>
  <si>
    <t>Video_ID (hyperlinked)</t>
  </si>
  <si>
    <t>Segment_ID</t>
  </si>
  <si>
    <t>Date</t>
  </si>
  <si>
    <t>Period</t>
  </si>
  <si>
    <t>Days_Since_Start</t>
  </si>
  <si>
    <t>Views</t>
  </si>
  <si>
    <t>Likes</t>
  </si>
  <si>
    <t>Comments</t>
  </si>
  <si>
    <t>Engagement_Rate</t>
  </si>
  <si>
    <t>Duration</t>
  </si>
  <si>
    <t>Mean_F0_Hz</t>
  </si>
  <si>
    <t>Min_F0_Hz</t>
  </si>
  <si>
    <t>Max_F0_Hz</t>
  </si>
  <si>
    <t>F0_Range_Hz</t>
  </si>
  <si>
    <t>F0_SD_Hz</t>
  </si>
  <si>
    <t>Total duration of vocal fry (seconds)</t>
  </si>
  <si>
    <t>Percentage of speech time with vocal fry (%)</t>
  </si>
  <si>
    <t>Total speech duration</t>
  </si>
  <si>
    <t>Mean_F0</t>
  </si>
  <si>
    <t>F0_Range</t>
  </si>
  <si>
    <t>F0_SD</t>
  </si>
  <si>
    <t>Vocal_Fry_%</t>
  </si>
  <si>
    <t>8N_XqvfQN-k</t>
  </si>
  <si>
    <t>5:20-7:20</t>
  </si>
  <si>
    <t>Early</t>
  </si>
  <si>
    <t>jGs5w3cov7A</t>
  </si>
  <si>
    <t>3:10-5:10</t>
  </si>
  <si>
    <t>jsRcVxG3Z4s</t>
  </si>
  <si>
    <t>4:50-6:50</t>
  </si>
  <si>
    <t>o88firD4o4U</t>
  </si>
  <si>
    <t>5:15-7:15</t>
  </si>
  <si>
    <t>VRMTRZLoli8</t>
  </si>
  <si>
    <t>4:45-6:45</t>
  </si>
  <si>
    <t>an-sPBcCN90</t>
  </si>
  <si>
    <t>1:15-3:15</t>
  </si>
  <si>
    <t>H3u4FUXe3hI</t>
  </si>
  <si>
    <t>2:10-4:10</t>
  </si>
  <si>
    <t>qd514DduxRk</t>
  </si>
  <si>
    <t>1:00-3:00</t>
  </si>
  <si>
    <t>W-OI-nX59Ds</t>
  </si>
  <si>
    <t>2:50-4:50</t>
  </si>
  <si>
    <t>W7G1tTrRP0Y</t>
  </si>
  <si>
    <t>cMYgif4ponc</t>
  </si>
  <si>
    <t>4:00-6:00</t>
  </si>
  <si>
    <t>Late</t>
  </si>
  <si>
    <t>K5YjixDnwvI</t>
  </si>
  <si>
    <t>0:10-2:10</t>
  </si>
  <si>
    <t>P-rtFEVNDQQ</t>
  </si>
  <si>
    <t>qXfUMtp_yFE</t>
  </si>
  <si>
    <t>0:30-2:30</t>
  </si>
  <si>
    <t>uJvK2OQslD8</t>
  </si>
  <si>
    <t>2:00-4:00</t>
  </si>
  <si>
    <t>2Ac4UCO_cs8</t>
  </si>
  <si>
    <t>5:00-7:00</t>
  </si>
  <si>
    <t>BoPqTaPP6co</t>
  </si>
  <si>
    <t>0:01-2:01</t>
  </si>
  <si>
    <t>cS-IYblgDNY</t>
  </si>
  <si>
    <t>loOdZ_wL1fc</t>
  </si>
  <si>
    <t>YtfREQbh3TM</t>
  </si>
  <si>
    <t>dgjkgBKHiK4</t>
  </si>
  <si>
    <t>2:30-4:30</t>
  </si>
  <si>
    <t>6:00-8:00</t>
  </si>
  <si>
    <t>h6BZ51I3Kcs</t>
  </si>
  <si>
    <t>0:42-2:42</t>
  </si>
  <si>
    <t>RKFkKcd3XHc</t>
  </si>
  <si>
    <t>4:30-6:30</t>
  </si>
  <si>
    <t>0PiZJOozLP4</t>
  </si>
  <si>
    <t>3:20-5:20</t>
  </si>
  <si>
    <t>K_qB2woAxhY</t>
  </si>
  <si>
    <t>1:50-3:50</t>
  </si>
  <si>
    <t>7:10-9:10</t>
  </si>
  <si>
    <t>shwKo1CmOFo</t>
  </si>
  <si>
    <t>1:22-3:22</t>
  </si>
  <si>
    <t>xbG6QkNnhn8</t>
  </si>
  <si>
    <t>9:45-11:45</t>
  </si>
  <si>
    <t>7Mc3Lq0fYKo</t>
  </si>
  <si>
    <t>H413bPMjjOI</t>
  </si>
  <si>
    <t>2:20-4:20</t>
  </si>
  <si>
    <t>Lb80YuAMlmY</t>
  </si>
  <si>
    <t>2:15-4:15</t>
  </si>
  <si>
    <t>VSnbNDkbuXI</t>
  </si>
  <si>
    <t>Yn8gzpTt_6E</t>
  </si>
  <si>
    <t>0:40-2:40</t>
  </si>
  <si>
    <t>FLmk70mo4DY</t>
  </si>
  <si>
    <t>3:30-5:30</t>
  </si>
  <si>
    <t>FsitBJiDHS4</t>
  </si>
  <si>
    <t>0:45-2:45</t>
  </si>
  <si>
    <t>HRavIioKRCM</t>
  </si>
  <si>
    <t>2:45-4:45</t>
  </si>
  <si>
    <t>o2huOwUSQXE</t>
  </si>
  <si>
    <t>1:30-3:30</t>
  </si>
  <si>
    <t>wzR4Ry1ykSY</t>
  </si>
  <si>
    <t>2On1HNqNRxU</t>
  </si>
  <si>
    <t>2SjuIhC4g5c</t>
  </si>
  <si>
    <t>1:40-3:40</t>
  </si>
  <si>
    <t>8aSEpxvp-EE</t>
  </si>
  <si>
    <t>Jq8gy2T2kic</t>
  </si>
  <si>
    <t>3:50-5:50</t>
  </si>
  <si>
    <t>NkLSHgKAcWw</t>
  </si>
  <si>
    <t>MEAN</t>
  </si>
  <si>
    <t>ap556Zd-uME</t>
  </si>
  <si>
    <t>4:20-6:20</t>
  </si>
  <si>
    <t>STD DEV</t>
  </si>
  <si>
    <t>11:50-13:50</t>
  </si>
  <si>
    <t>FrGYT_mcduk</t>
  </si>
  <si>
    <t>17:20-19:20</t>
  </si>
  <si>
    <t>mwBRt0y4h6E</t>
  </si>
  <si>
    <t>7:20-9:20</t>
  </si>
  <si>
    <t>22ebdZGPzNw</t>
  </si>
  <si>
    <t>0:00-2:00</t>
  </si>
  <si>
    <t>feaZ1hzLTcU</t>
  </si>
  <si>
    <t>JKLp5hCxUiA</t>
  </si>
  <si>
    <t>10:00-12:00</t>
  </si>
  <si>
    <t>KqG71rk3dZM</t>
  </si>
  <si>
    <t>VyRNPiF-Kdc</t>
  </si>
  <si>
    <t>4:15-6:15</t>
  </si>
  <si>
    <t>15BRcuewPSs</t>
  </si>
  <si>
    <t>5yvYnolI7uc</t>
  </si>
  <si>
    <t>3:00-5:00</t>
  </si>
  <si>
    <t>eKWv0BN6Pl4</t>
  </si>
  <si>
    <t>rrMR0_PxzSY</t>
  </si>
  <si>
    <t>TOw4mwUl-6o</t>
  </si>
  <si>
    <t>15:45-17:45</t>
  </si>
  <si>
    <t>2mUYSAJVev4</t>
  </si>
  <si>
    <t>7:30-9:30</t>
  </si>
  <si>
    <t>MwJEtijz5fU</t>
  </si>
  <si>
    <t>9:50-11:50</t>
  </si>
  <si>
    <t>o4YeWrld9qs</t>
  </si>
  <si>
    <t>10:12-12:12</t>
  </si>
  <si>
    <t>pK4_hmeiEV8</t>
  </si>
  <si>
    <t>6:18-8:18</t>
  </si>
  <si>
    <t>v8CFX9ediZQ</t>
  </si>
  <si>
    <t>7:35-9:35</t>
  </si>
  <si>
    <t>66woxFcScvg</t>
  </si>
  <si>
    <t>6gl6IGCnIiw</t>
  </si>
  <si>
    <t>6:20-8:20</t>
  </si>
  <si>
    <t>ENVh9KGJPKE</t>
  </si>
  <si>
    <t>EPhLb-gME8Q</t>
  </si>
  <si>
    <t>RKNI8dLGQyU</t>
  </si>
  <si>
    <t>32:00-34:00</t>
  </si>
  <si>
    <t>J1C2oRy4BiU</t>
  </si>
  <si>
    <t>JdKbiijmNnM</t>
  </si>
  <si>
    <t>5:30-7:30</t>
  </si>
  <si>
    <t>nSQ75EfX1Zs</t>
  </si>
  <si>
    <t>5CLEbihniBI</t>
  </si>
  <si>
    <t>8:00-10:00</t>
  </si>
  <si>
    <t>deZu4vTh7gk</t>
  </si>
  <si>
    <t>eLQv5nOTgIc</t>
  </si>
  <si>
    <t>hxJ6ULBGoXg</t>
  </si>
  <si>
    <t>hHcgVf-xhSI</t>
  </si>
  <si>
    <t>4:10-6:10</t>
  </si>
  <si>
    <t>ISd5oTsRIcs</t>
  </si>
  <si>
    <t>6:50-8:50</t>
  </si>
  <si>
    <t>MvRnMh0J_Ik</t>
  </si>
  <si>
    <t>5:40--7:40</t>
  </si>
  <si>
    <t>rKb3vCdhcqQ</t>
  </si>
  <si>
    <t>wu-d1ChHCRk</t>
  </si>
  <si>
    <t>7CsdKBg2KuE</t>
  </si>
  <si>
    <t>44:40-46:40</t>
  </si>
  <si>
    <t>9IYcyG7gcP4</t>
  </si>
  <si>
    <t>9:00-11:00</t>
  </si>
  <si>
    <t>KA-V1IOjZHg</t>
  </si>
  <si>
    <t>13:00-15:00</t>
  </si>
  <si>
    <t>RlmdMn8whn8</t>
  </si>
  <si>
    <t>Ss6p5ASFs0I</t>
  </si>
  <si>
    <t>BFZJaAnPp44</t>
  </si>
  <si>
    <t>ctPaunqeej4</t>
  </si>
  <si>
    <t>Lu6pVJ2Vd6E</t>
  </si>
  <si>
    <t>bESQE7Tso8s</t>
  </si>
  <si>
    <t>10:30-12:30</t>
  </si>
  <si>
    <t>cPz3zvfe9aI</t>
  </si>
  <si>
    <t>9:08-11:08</t>
  </si>
  <si>
    <t>LRDGsvZECnY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</si>
</sst>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trike/>
      <color theme="1"/>
      <name val="Arial"/>
      <scheme val="minor"/>
    </font>
    <font>
      <color theme="1"/>
      <name val="Arial"/>
    </font>
    <font>
      <color rgb="FF434343"/>
      <name val="Roboto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Font="1"/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2" numFmtId="10" xfId="0" applyFont="1" applyNumberFormat="1"/>
    <xf borderId="0" fillId="0" fontId="6" numFmtId="0" xfId="0" applyAlignment="1" applyFont="1">
      <alignment vertical="bottom"/>
    </xf>
    <xf borderId="0" fillId="0" fontId="2" numFmtId="0" xfId="0" applyFont="1"/>
    <xf borderId="0" fillId="0" fontId="2" numFmtId="10" xfId="0" applyFont="1" applyNumberFormat="1"/>
    <xf borderId="0" fillId="0" fontId="6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10" xfId="0" applyAlignment="1" applyFont="1" applyNumberFormat="1">
      <alignment shrinkToFit="0" vertical="center" wrapText="0"/>
    </xf>
    <xf borderId="0" fillId="0" fontId="6" numFmtId="164" xfId="0" applyAlignment="1" applyFont="1" applyNumberFormat="1">
      <alignment readingOrder="0" vertical="bottom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10" xfId="0" applyAlignment="1" applyFont="1" applyNumberFormat="1">
      <alignment readingOrder="0" shrinkToFit="0" vertical="center" wrapText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5" fontId="7" numFmtId="0" xfId="0" applyAlignment="1" applyBorder="1" applyFont="1">
      <alignment horizontal="right" shrinkToFit="0" vertical="center" wrapText="0"/>
    </xf>
    <xf borderId="0" fillId="0" fontId="8" numFmtId="10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4" fontId="7" numFmtId="0" xfId="0" applyAlignment="1" applyBorder="1" applyFont="1">
      <alignment horizontal="right" shrinkToFit="0" vertical="center" wrapText="0"/>
    </xf>
    <xf borderId="3" fillId="4" fontId="7" numFmtId="0" xfId="0" applyAlignment="1" applyBorder="1" applyFont="1">
      <alignment horizontal="right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bin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ra Carrol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iley in Bookla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ley Ph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sandLa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ma Sny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d BookWorr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ookol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bbyr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tytast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ceuponanemilyrea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2" displayName="Table1" name="Table1" id="1">
  <tableColumns count="12">
    <tableColumn name="Name" id="1"/>
    <tableColumn name="Channel" id="2"/>
    <tableColumn name="Platform" id="3"/>
    <tableColumn name="Account Age" id="4"/>
    <tableColumn name="Subscribers" id="5"/>
    <tableColumn name="# of videos" id="6"/>
    <tableColumn name="Total Views" id="7"/>
    <tableColumn name="Gender" id="8"/>
    <tableColumn name="Ethnicity" id="9"/>
    <tableColumn name="Age Range" id="10"/>
    <tableColumn name="Geographic Region" id="11"/>
    <tableColumn name="Content" id="12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V25:AB49" displayName="Table13" name="Table13" id="2">
  <tableColumns count="7">
    <tableColumn name="Channel" id="1"/>
    <tableColumn name="Period" id="2"/>
    <tableColumn name="Mean_F0" id="3"/>
    <tableColumn name="F0_Range" id="4"/>
    <tableColumn name="F0_SD" id="5"/>
    <tableColumn name="Vocal_Fry_%" id="6"/>
    <tableColumn name="Engagement_Rate" id="7"/>
  </tableColumns>
  <tableStyleInfo name="Combination-style" showColumnStripes="0" showFirstColumn="1" showLastColumn="1" showRowStripes="1"/>
</table>
</file>

<file path=xl/tables/table3.xml><?xml version="1.0" encoding="utf-8"?>
<table xmlns="http://schemas.openxmlformats.org/spreadsheetml/2006/main" ref="A1:R11" displayName="Table2" name="Table2" id="3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Sara Carrolli-style" showColumnStripes="0" showFirstColumn="1" showLastColumn="1" showRowStripes="1"/>
</table>
</file>

<file path=xl/tables/table4.xml><?xml version="1.0" encoding="utf-8"?>
<table xmlns="http://schemas.openxmlformats.org/spreadsheetml/2006/main" ref="A1:R11" displayName="Table3" name="Table3" id="4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Hailey in Bookland-style" showColumnStripes="0" showFirstColumn="1" showLastColumn="1" showRowStripes="1"/>
</table>
</file>

<file path=xl/tables/table5.xml><?xml version="1.0" encoding="utf-8"?>
<table xmlns="http://schemas.openxmlformats.org/spreadsheetml/2006/main" ref="A1:R11" displayName="Table4" name="Table4" id="5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Haley Pham-style" showColumnStripes="0" showFirstColumn="1" showLastColumn="1" showRowStripes="1"/>
</table>
</file>

<file path=xl/tables/table6.xml><?xml version="1.0" encoding="utf-8"?>
<table xmlns="http://schemas.openxmlformats.org/spreadsheetml/2006/main" ref="A1:R11" displayName="Table5" name="Table5" id="6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BooksandLala-style" showColumnStripes="0" showFirstColumn="1" showLastColumn="1" showRowStripes="1"/>
</table>
</file>

<file path=xl/tables/table7.xml><?xml version="1.0" encoding="utf-8"?>
<table xmlns="http://schemas.openxmlformats.org/spreadsheetml/2006/main" ref="A1:R11" displayName="Table6" name="Table6" id="7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Emma Snyder-style" showColumnStripes="0" showFirstColumn="1" showLastColumn="1" showRowStripes="1"/>
</table>
</file>

<file path=xl/tables/table8.xml><?xml version="1.0" encoding="utf-8"?>
<table xmlns="http://schemas.openxmlformats.org/spreadsheetml/2006/main" ref="A1:R11" displayName="Table7" name="Table7" id="8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Syd BookWorrom-style" showColumnStripes="0" showFirstColumn="1" showLastColumn="1" showRowStripes="1"/>
</table>
</file>

<file path=xl/tables/table9.xml><?xml version="1.0" encoding="utf-8"?>
<table xmlns="http://schemas.openxmlformats.org/spreadsheetml/2006/main" ref="A1:R11" displayName="Table8" name="Table8" id="9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abookolive-style" showColumnStripes="0" showFirstColumn="1" showLastColumn="1" showRowStripes="1"/>
</table>
</file>

<file path=xl/tables/table10.xml><?xml version="1.0" encoding="utf-8"?>
<table xmlns="http://schemas.openxmlformats.org/spreadsheetml/2006/main" ref="A1:R11" displayName="Table12" name="Table12" id="10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gabbyreads-style" showColumnStripes="0" showFirstColumn="1" showLastColumn="1" showRowStripes="1"/>
</table>
</file>

<file path=xl/tables/table11.xml><?xml version="1.0" encoding="utf-8"?>
<table xmlns="http://schemas.openxmlformats.org/spreadsheetml/2006/main" ref="A1:R11" displayName="Table10" name="Table10" id="11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Katytastic-style" showColumnStripes="0" showFirstColumn="1" showLastColumn="1" showRowStripes="1"/>
</table>
</file>

<file path=xl/tables/table12.xml><?xml version="1.0" encoding="utf-8"?>
<table xmlns="http://schemas.openxmlformats.org/spreadsheetml/2006/main" ref="A1:R11" displayName="Table9" name="Table9" id="12">
  <tableColumns count="18">
    <tableColumn name="Video_ID" id="1"/>
    <tableColumn name="Video_ID (hyperlinked)" id="2"/>
    <tableColumn name="Segment_ID" id="3"/>
    <tableColumn name="Date" id="4"/>
    <tableColumn name="Days_Since_Start" id="5"/>
    <tableColumn name="Views" id="6"/>
    <tableColumn name="Likes" id="7"/>
    <tableColumn name="Comments" id="8"/>
    <tableColumn name="Engagement_Rate" id="9"/>
    <tableColumn name="Duration" id="10"/>
    <tableColumn name="Mean_F0_Hz" id="11"/>
    <tableColumn name="Min_F0_Hz" id="12"/>
    <tableColumn name="Max_F0_Hz" id="13"/>
    <tableColumn name="F0_Range_Hz" id="14"/>
    <tableColumn name="F0_SD_Hz" id="15"/>
    <tableColumn name="Total duration of vocal fry (seconds)" id="16"/>
    <tableColumn name="Percentage of speech time with vocal fry (%)" id="17"/>
    <tableColumn name="Total speech duration" id="18"/>
  </tableColumns>
  <tableStyleInfo name="onceuponanemilyre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SaraCarrolli" TargetMode="External"/><Relationship Id="rId2" Type="http://schemas.openxmlformats.org/officeDocument/2006/relationships/hyperlink" Target="https://www.youtube.com/@HaileyinBookland/videos" TargetMode="External"/><Relationship Id="rId3" Type="http://schemas.openxmlformats.org/officeDocument/2006/relationships/hyperlink" Target="https://www.youtube.com/@haleypham/videos" TargetMode="External"/><Relationship Id="rId4" Type="http://schemas.openxmlformats.org/officeDocument/2006/relationships/hyperlink" Target="https://www.youtube.com/@BooksandLala/video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youtube.com/@onceuponanemilyreads/videos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youtube.com/@Katytastic/videos" TargetMode="External"/><Relationship Id="rId5" Type="http://schemas.openxmlformats.org/officeDocument/2006/relationships/hyperlink" Target="https://www.youtube.com/@emsnyde/videos" TargetMode="External"/><Relationship Id="rId6" Type="http://schemas.openxmlformats.org/officeDocument/2006/relationships/hyperlink" Target="https://www.youtube.com/@SydBookWorrom/videos" TargetMode="External"/><Relationship Id="rId7" Type="http://schemas.openxmlformats.org/officeDocument/2006/relationships/hyperlink" Target="https://www.youtube.com/@abookolive/videos" TargetMode="External"/><Relationship Id="rId8" Type="http://schemas.openxmlformats.org/officeDocument/2006/relationships/hyperlink" Target="https://www.youtube.com/@gabbyreads/video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4" max="5" width="15.13"/>
    <col customWidth="1" min="6" max="7" width="13.75"/>
    <col customWidth="1" min="10" max="10" width="13.63"/>
    <col customWidth="1" min="11" max="11" width="19.75"/>
    <col customWidth="1" min="12" max="12" width="18.0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</row>
    <row r="2" ht="22.5" customHeight="1">
      <c r="A2" s="5" t="s">
        <v>12</v>
      </c>
      <c r="B2" s="6" t="s">
        <v>13</v>
      </c>
      <c r="C2" s="5" t="s">
        <v>14</v>
      </c>
      <c r="D2" s="5">
        <v>12.0</v>
      </c>
      <c r="E2" s="7">
        <v>428000.0</v>
      </c>
      <c r="F2" s="5">
        <v>403.0</v>
      </c>
      <c r="G2" s="7">
        <v>6.1446831E7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ht="22.5" customHeight="1">
      <c r="A3" s="5" t="s">
        <v>20</v>
      </c>
      <c r="B3" s="6" t="s">
        <v>21</v>
      </c>
      <c r="C3" s="5" t="s">
        <v>14</v>
      </c>
      <c r="D3" s="5">
        <v>11.0</v>
      </c>
      <c r="E3" s="7">
        <v>295000.0</v>
      </c>
      <c r="F3" s="7">
        <v>1318.0</v>
      </c>
      <c r="G3" s="7">
        <v>4.2659963E7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</row>
    <row r="4" ht="22.5" customHeight="1">
      <c r="A4" s="5" t="s">
        <v>22</v>
      </c>
      <c r="B4" s="6" t="s">
        <v>23</v>
      </c>
      <c r="C4" s="5" t="s">
        <v>14</v>
      </c>
      <c r="D4" s="5">
        <v>15.0</v>
      </c>
      <c r="E4" s="7">
        <v>3850000.0</v>
      </c>
      <c r="F4" s="5">
        <v>178.0</v>
      </c>
      <c r="G4" s="7">
        <v>5.02034868E8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</row>
    <row r="5" ht="22.5" customHeight="1">
      <c r="A5" s="5" t="s">
        <v>24</v>
      </c>
      <c r="B5" s="6" t="s">
        <v>25</v>
      </c>
      <c r="C5" s="5" t="s">
        <v>14</v>
      </c>
      <c r="D5" s="5">
        <v>11.0</v>
      </c>
      <c r="E5" s="7">
        <v>161000.0</v>
      </c>
      <c r="F5" s="5">
        <v>842.0</v>
      </c>
      <c r="G5" s="7">
        <v>2.829611E7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26</v>
      </c>
    </row>
    <row r="6" ht="22.5" customHeight="1">
      <c r="A6" s="5" t="s">
        <v>27</v>
      </c>
      <c r="B6" s="6" t="s">
        <v>28</v>
      </c>
      <c r="C6" s="5" t="s">
        <v>14</v>
      </c>
      <c r="D6" s="5">
        <v>10.0</v>
      </c>
      <c r="E6" s="7">
        <v>2730.0</v>
      </c>
      <c r="F6" s="5">
        <v>167.0</v>
      </c>
      <c r="G6" s="7">
        <v>196735.0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</row>
    <row r="7" ht="22.5" customHeight="1">
      <c r="A7" s="5" t="s">
        <v>29</v>
      </c>
      <c r="B7" s="6" t="s">
        <v>30</v>
      </c>
      <c r="C7" s="5" t="s">
        <v>14</v>
      </c>
      <c r="D7" s="5">
        <v>5.0</v>
      </c>
      <c r="E7" s="7">
        <v>37500.0</v>
      </c>
      <c r="F7" s="5">
        <v>450.0</v>
      </c>
      <c r="G7" s="7">
        <v>3710598.0</v>
      </c>
      <c r="H7" s="5" t="s">
        <v>15</v>
      </c>
      <c r="I7" s="5" t="s">
        <v>16</v>
      </c>
      <c r="J7" s="5" t="s">
        <v>17</v>
      </c>
      <c r="K7" s="5" t="s">
        <v>18</v>
      </c>
      <c r="L7" s="5" t="s">
        <v>26</v>
      </c>
    </row>
    <row r="8" ht="22.5" customHeight="1">
      <c r="A8" s="5" t="s">
        <v>31</v>
      </c>
      <c r="B8" s="6" t="s">
        <v>32</v>
      </c>
      <c r="C8" s="5" t="s">
        <v>14</v>
      </c>
      <c r="D8" s="5">
        <v>19.0</v>
      </c>
      <c r="E8" s="7">
        <v>46100.0</v>
      </c>
      <c r="F8" s="5">
        <v>772.0</v>
      </c>
      <c r="G8" s="7">
        <v>4609580.0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26</v>
      </c>
    </row>
    <row r="9" ht="22.5" customHeight="1">
      <c r="A9" s="5" t="s">
        <v>33</v>
      </c>
      <c r="B9" s="6" t="s">
        <v>34</v>
      </c>
      <c r="C9" s="5" t="s">
        <v>14</v>
      </c>
      <c r="D9" s="5">
        <v>10.0</v>
      </c>
      <c r="E9" s="7">
        <v>94900.0</v>
      </c>
      <c r="F9" s="7">
        <v>1115.0</v>
      </c>
      <c r="G9" s="7">
        <v>1.5632871E7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26</v>
      </c>
    </row>
    <row r="10" ht="22.5" customHeight="1">
      <c r="A10" s="5" t="s">
        <v>35</v>
      </c>
      <c r="B10" s="8" t="s">
        <v>36</v>
      </c>
      <c r="C10" s="5" t="s">
        <v>14</v>
      </c>
      <c r="D10" s="5">
        <v>16.0</v>
      </c>
      <c r="E10" s="7">
        <v>234000.0</v>
      </c>
      <c r="F10" s="5">
        <v>532.0</v>
      </c>
      <c r="G10" s="7">
        <v>2.3879362E7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26</v>
      </c>
    </row>
    <row r="11" ht="22.5" customHeight="1">
      <c r="A11" s="5" t="s">
        <v>37</v>
      </c>
      <c r="B11" s="6" t="s">
        <v>38</v>
      </c>
      <c r="C11" s="5" t="s">
        <v>14</v>
      </c>
      <c r="D11" s="5">
        <v>14.0</v>
      </c>
      <c r="E11" s="7">
        <v>1270.0</v>
      </c>
      <c r="F11" s="5">
        <v>34.0</v>
      </c>
      <c r="G11" s="7">
        <v>53312.0</v>
      </c>
      <c r="H11" s="5" t="s">
        <v>15</v>
      </c>
      <c r="I11" s="5" t="s">
        <v>16</v>
      </c>
      <c r="J11" s="5" t="s">
        <v>17</v>
      </c>
      <c r="K11" s="5" t="s">
        <v>18</v>
      </c>
      <c r="L11" s="5" t="s">
        <v>26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22.5" customHeight="1">
      <c r="A12" s="10"/>
      <c r="B12" s="11"/>
      <c r="C12" s="10"/>
      <c r="D12" s="10"/>
      <c r="E12" s="12"/>
      <c r="F12" s="10"/>
      <c r="G12" s="12"/>
      <c r="H12" s="10"/>
      <c r="I12" s="10"/>
      <c r="J12" s="10"/>
      <c r="K12" s="10"/>
      <c r="L12" s="1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2" max="22" width="20.63"/>
    <col customWidth="1" min="23" max="23" width="13.5"/>
    <col customWidth="1" min="24" max="24" width="15.5"/>
    <col customWidth="1" min="25" max="25" width="16.0"/>
    <col customWidth="1" min="26" max="26" width="13.5"/>
    <col customWidth="1" min="27" max="27" width="17.88"/>
    <col customWidth="1" min="28" max="28" width="22.25"/>
  </cols>
  <sheetData>
    <row r="1">
      <c r="A1" s="13" t="s">
        <v>39</v>
      </c>
      <c r="B1" s="13" t="s">
        <v>40</v>
      </c>
      <c r="C1" s="14" t="s">
        <v>41</v>
      </c>
      <c r="D1" s="14" t="s">
        <v>42</v>
      </c>
      <c r="E1" s="14" t="s">
        <v>43</v>
      </c>
      <c r="F1" s="13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4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V1" s="15" t="s">
        <v>1</v>
      </c>
      <c r="W1" s="15" t="s">
        <v>44</v>
      </c>
      <c r="X1" s="15" t="s">
        <v>59</v>
      </c>
      <c r="Y1" s="15" t="s">
        <v>60</v>
      </c>
      <c r="Z1" s="15" t="s">
        <v>61</v>
      </c>
      <c r="AA1" s="15" t="s">
        <v>62</v>
      </c>
      <c r="AB1" s="15" t="s">
        <v>49</v>
      </c>
    </row>
    <row r="2">
      <c r="A2" s="15" t="s">
        <v>12</v>
      </c>
      <c r="B2" s="15" t="s">
        <v>63</v>
      </c>
      <c r="C2" s="15" t="s">
        <v>63</v>
      </c>
      <c r="D2" s="15" t="s">
        <v>64</v>
      </c>
      <c r="E2" s="16">
        <v>44472.0</v>
      </c>
      <c r="F2" s="15" t="s">
        <v>65</v>
      </c>
      <c r="G2" s="15">
        <v>3071.0</v>
      </c>
      <c r="H2" s="15">
        <v>40654.0</v>
      </c>
      <c r="I2" s="15">
        <v>1987.0</v>
      </c>
      <c r="J2" s="15">
        <v>61.0</v>
      </c>
      <c r="K2" s="17">
        <v>4.88758793722635</v>
      </c>
      <c r="L2" s="15">
        <v>120.0</v>
      </c>
      <c r="M2" s="15">
        <v>216.0</v>
      </c>
      <c r="N2" s="15">
        <v>109.0</v>
      </c>
      <c r="O2" s="15">
        <v>475.0</v>
      </c>
      <c r="P2" s="17">
        <v>366.0</v>
      </c>
      <c r="Q2" s="15">
        <v>27.0</v>
      </c>
      <c r="R2" s="18">
        <v>6.52499999999998</v>
      </c>
      <c r="S2" s="19">
        <v>0.05856429956200169</v>
      </c>
      <c r="T2" s="20">
        <v>111.416</v>
      </c>
      <c r="U2" s="21"/>
      <c r="V2" s="22" t="s">
        <v>12</v>
      </c>
      <c r="W2" s="22" t="s">
        <v>65</v>
      </c>
      <c r="X2" s="22">
        <f>IFERROR(__xludf.DUMMYFUNCTION("AVERAGE(FILTER(M2:M1000, A2:A1000=V2, ISNUMBER(SEARCH(""Early"", F2:F1000))))"),217.8)</f>
        <v>217.8</v>
      </c>
      <c r="Y2" s="22">
        <f>IFERROR(__xludf.DUMMYFUNCTION("AVERAGE(FILTER(P2:P1000, A2:A1000=V2, ISNUMBER(SEARCH(""Early"", F2:F1000))))"),299.8)</f>
        <v>299.8</v>
      </c>
      <c r="Z2" s="21">
        <f>IFERROR(__xludf.DUMMYFUNCTION("AVERAGE(FILTER(Q2:Q1000, A2:A1000=V2, ISNUMBER(SEARCH(""Early"", F2:F1000))))"),32.2)</f>
        <v>32.2</v>
      </c>
      <c r="AA2" s="23">
        <f>IFERROR(__xludf.DUMMYFUNCTION("AVERAGE(FILTER(S2:S1000, A2:A1000=V2, ISNUMBER(SEARCH(""Early"", F2:F1000))))"),0.07950486145086746)</f>
        <v>0.07950486145</v>
      </c>
      <c r="AB2" s="21">
        <f>IFERROR(__xludf.DUMMYFUNCTION("AVERAGE(FILTER(K2:K1000, A2:A1000=V2, ISNUMBER(SEARCH(""Early"", F2:F1000))))"),4.1080612960000575)</f>
        <v>4.108061296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>
      <c r="A3" s="15" t="s">
        <v>12</v>
      </c>
      <c r="B3" s="15" t="s">
        <v>66</v>
      </c>
      <c r="C3" s="15" t="s">
        <v>66</v>
      </c>
      <c r="D3" s="15" t="s">
        <v>67</v>
      </c>
      <c r="E3" s="16">
        <v>44456.0</v>
      </c>
      <c r="F3" s="15" t="s">
        <v>65</v>
      </c>
      <c r="G3" s="15">
        <v>3055.0</v>
      </c>
      <c r="H3" s="15">
        <v>96870.0</v>
      </c>
      <c r="I3" s="15">
        <v>3648.0</v>
      </c>
      <c r="J3" s="15">
        <v>118.0</v>
      </c>
      <c r="K3" s="17">
        <v>3.7658717869309384</v>
      </c>
      <c r="L3" s="15">
        <v>120.0</v>
      </c>
      <c r="M3" s="15">
        <v>226.0</v>
      </c>
      <c r="N3" s="15">
        <v>104.0</v>
      </c>
      <c r="O3" s="15">
        <v>392.0</v>
      </c>
      <c r="P3" s="17">
        <v>288.0</v>
      </c>
      <c r="Q3" s="15">
        <v>35.0</v>
      </c>
      <c r="R3" s="18">
        <v>8.09000000000009</v>
      </c>
      <c r="S3" s="19">
        <v>0.07482980612698095</v>
      </c>
      <c r="T3" s="20">
        <v>108.111999999999</v>
      </c>
      <c r="U3" s="21"/>
      <c r="V3" s="22" t="s">
        <v>20</v>
      </c>
      <c r="W3" s="22" t="s">
        <v>65</v>
      </c>
      <c r="X3" s="22">
        <f>IFERROR(__xludf.DUMMYFUNCTION("AVERAGE(FILTER(M3:M1000, A3:A1000=V3, ISNUMBER(SEARCH(""Early"", F3:F1000))))"),205.8)</f>
        <v>205.8</v>
      </c>
      <c r="Y3" s="22">
        <f>IFERROR(__xludf.DUMMYFUNCTION("AVERAGE(FILTER(P3:P1000, A3:A1000=V3, ISNUMBER(SEARCH(""Early"", F3:F1000))))"),325.2)</f>
        <v>325.2</v>
      </c>
      <c r="Z3" s="21">
        <f>IFERROR(__xludf.DUMMYFUNCTION("AVERAGE(FILTER(Q3:Q1000, A3:A1000=V3, ISNUMBER(SEARCH(""Early"", F3:F1000))))"),36.4)</f>
        <v>36.4</v>
      </c>
      <c r="AA3" s="23">
        <f>IFERROR(__xludf.DUMMYFUNCTION("AVERAGE(FILTER(S3:S1000, A3:A1000=V3, ISNUMBER(SEARCH(""Early"", F3:F1000))))"),0.14836037131696062)</f>
        <v>0.1483603713</v>
      </c>
      <c r="AB3" s="21">
        <f>IFERROR(__xludf.DUMMYFUNCTION("AVERAGE(FILTER(K3:K1000, A3:A1000=V3, ISNUMBER(SEARCH(""Early"", F3:F1000))))"),3.0935071544231194)</f>
        <v>3.093507154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>
      <c r="A4" s="15" t="s">
        <v>12</v>
      </c>
      <c r="B4" s="15" t="s">
        <v>68</v>
      </c>
      <c r="C4" s="15" t="s">
        <v>68</v>
      </c>
      <c r="D4" s="15" t="s">
        <v>69</v>
      </c>
      <c r="E4" s="16">
        <v>44556.0</v>
      </c>
      <c r="F4" s="15" t="s">
        <v>65</v>
      </c>
      <c r="G4" s="15">
        <v>3155.0</v>
      </c>
      <c r="H4" s="15">
        <v>43359.0</v>
      </c>
      <c r="I4" s="15">
        <v>2258.0</v>
      </c>
      <c r="J4" s="15">
        <v>86.0</v>
      </c>
      <c r="K4" s="17">
        <v>5.207684679074702</v>
      </c>
      <c r="L4" s="15">
        <v>120.0</v>
      </c>
      <c r="M4" s="15">
        <v>215.0</v>
      </c>
      <c r="N4" s="15">
        <v>100.0</v>
      </c>
      <c r="O4" s="15">
        <v>334.0</v>
      </c>
      <c r="P4" s="17">
        <v>234.0</v>
      </c>
      <c r="Q4" s="15">
        <v>21.0</v>
      </c>
      <c r="R4" s="18">
        <v>10.27</v>
      </c>
      <c r="S4" s="19">
        <v>0.0934587944088535</v>
      </c>
      <c r="T4" s="20">
        <v>109.887999999999</v>
      </c>
      <c r="U4" s="21"/>
      <c r="V4" s="22" t="s">
        <v>22</v>
      </c>
      <c r="W4" s="22" t="s">
        <v>65</v>
      </c>
      <c r="X4" s="22">
        <f>IFERROR(__xludf.DUMMYFUNCTION("AVERAGE(FILTER(M4:M1000, A4:A1000=V4, ISNUMBER(SEARCH(""Early"", F4:F1000))))"),226.6)</f>
        <v>226.6</v>
      </c>
      <c r="Y4" s="22">
        <f>IFERROR(__xludf.DUMMYFUNCTION("AVERAGE(FILTER(P4:P1000, A4:A1000=V4, ISNUMBER(SEARCH(""Early"", F4:F1000))))"),246.0)</f>
        <v>246</v>
      </c>
      <c r="Z4" s="21">
        <f>IFERROR(__xludf.DUMMYFUNCTION("AVERAGE(FILTER(Q4:Q1000, A4:A1000=V4, ISNUMBER(SEARCH(""Early"", F4:F1000))))"),39.2)</f>
        <v>39.2</v>
      </c>
      <c r="AA4" s="23">
        <f>IFERROR(__xludf.DUMMYFUNCTION("AVERAGE(FILTER(S4:S1000, A4:A1000=V4, ISNUMBER(SEARCH(""Early"", F4:F1000))))"),0.08447011293653664)</f>
        <v>0.08447011294</v>
      </c>
      <c r="AB4" s="21">
        <f>IFERROR(__xludf.DUMMYFUNCTION("AVERAGE(FILTER(K4:K1000, A4:A1000=V4, ISNUMBER(SEARCH(""Early"", F4:F1000))))"),3.9655369121705433)</f>
        <v>3.965536912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>
      <c r="A5" s="15" t="s">
        <v>12</v>
      </c>
      <c r="B5" s="15" t="s">
        <v>70</v>
      </c>
      <c r="C5" s="15" t="s">
        <v>70</v>
      </c>
      <c r="D5" s="15" t="s">
        <v>71</v>
      </c>
      <c r="E5" s="16">
        <v>44526.0</v>
      </c>
      <c r="F5" s="15" t="s">
        <v>65</v>
      </c>
      <c r="G5" s="15">
        <v>3125.0</v>
      </c>
      <c r="H5" s="15">
        <v>87920.0</v>
      </c>
      <c r="I5" s="15">
        <v>3397.0</v>
      </c>
      <c r="J5" s="15">
        <v>130.0</v>
      </c>
      <c r="K5" s="17">
        <v>3.863739763421292</v>
      </c>
      <c r="L5" s="15">
        <v>120.0</v>
      </c>
      <c r="M5" s="15">
        <v>229.0</v>
      </c>
      <c r="N5" s="15">
        <v>101.0</v>
      </c>
      <c r="O5" s="15">
        <v>409.0</v>
      </c>
      <c r="P5" s="17">
        <v>308.0</v>
      </c>
      <c r="Q5" s="15">
        <v>30.0</v>
      </c>
      <c r="R5" s="18">
        <v>6.99000000000003</v>
      </c>
      <c r="S5" s="19">
        <v>0.060018546503641385</v>
      </c>
      <c r="T5" s="20">
        <v>116.463999999999</v>
      </c>
      <c r="U5" s="21"/>
      <c r="V5" s="22" t="s">
        <v>24</v>
      </c>
      <c r="W5" s="22" t="s">
        <v>65</v>
      </c>
      <c r="X5" s="22">
        <f>IFERROR(__xludf.DUMMYFUNCTION("AVERAGE(FILTER(M5:M1000, A5:A1000=V5, ISNUMBER(SEARCH(""Early"", F5:F1000))))"),250.2)</f>
        <v>250.2</v>
      </c>
      <c r="Y5" s="22">
        <f>IFERROR(__xludf.DUMMYFUNCTION("AVERAGE(FILTER(P5:P1000, A5:A1000=V5, ISNUMBER(SEARCH(""Early"", F5:F1000))))"),275.8)</f>
        <v>275.8</v>
      </c>
      <c r="Z5" s="21">
        <f>IFERROR(__xludf.DUMMYFUNCTION("AVERAGE(FILTER(Q5:Q1000, A5:A1000=V5, ISNUMBER(SEARCH(""Early"", F5:F1000))))"),38.8)</f>
        <v>38.8</v>
      </c>
      <c r="AA5" s="23">
        <f>IFERROR(__xludf.DUMMYFUNCTION("AVERAGE(FILTER(S5:S1000, A5:A1000=V5, ISNUMBER(SEARCH(""Early"", F5:F1000))))"),0.29462341287776844)</f>
        <v>0.2946234129</v>
      </c>
      <c r="AB5" s="21">
        <f>IFERROR(__xludf.DUMMYFUNCTION("AVERAGE(FILTER(K5:K1000, A5:A1000=V5, ISNUMBER(SEARCH(""Early"", F5:F1000))))"),4.716484302915005)</f>
        <v>4.716484303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>
      <c r="A6" s="15" t="s">
        <v>12</v>
      </c>
      <c r="B6" s="15" t="s">
        <v>72</v>
      </c>
      <c r="C6" s="15" t="s">
        <v>72</v>
      </c>
      <c r="D6" s="15" t="s">
        <v>73</v>
      </c>
      <c r="E6" s="16">
        <v>44430.0</v>
      </c>
      <c r="F6" s="15" t="s">
        <v>65</v>
      </c>
      <c r="G6" s="15">
        <v>3029.0</v>
      </c>
      <c r="H6" s="15">
        <v>79988.0</v>
      </c>
      <c r="I6" s="15">
        <v>2252.0</v>
      </c>
      <c r="J6" s="15">
        <v>76.0</v>
      </c>
      <c r="K6" s="17">
        <v>2.815422313347002</v>
      </c>
      <c r="L6" s="15">
        <v>120.0</v>
      </c>
      <c r="M6" s="15">
        <v>203.0</v>
      </c>
      <c r="N6" s="15">
        <v>89.0</v>
      </c>
      <c r="O6" s="15">
        <v>392.0</v>
      </c>
      <c r="P6" s="17">
        <v>303.0</v>
      </c>
      <c r="Q6" s="15">
        <v>48.0</v>
      </c>
      <c r="R6" s="18">
        <v>12.6099999999999</v>
      </c>
      <c r="S6" s="19">
        <v>0.11065286065285979</v>
      </c>
      <c r="T6" s="20">
        <v>113.96</v>
      </c>
      <c r="U6" s="21"/>
      <c r="V6" s="22" t="s">
        <v>27</v>
      </c>
      <c r="W6" s="22" t="s">
        <v>65</v>
      </c>
      <c r="X6" s="22">
        <f>IFERROR(__xludf.DUMMYFUNCTION("AVERAGE(FILTER(M6:M1000, A6:A1000=V6, ISNUMBER(SEARCH(""Early"", F6:F1000))))"),236.6)</f>
        <v>236.6</v>
      </c>
      <c r="Y6" s="22">
        <f>IFERROR(__xludf.DUMMYFUNCTION("AVERAGE(FILTER(P6:P1000, A6:A1000=V6, ISNUMBER(SEARCH(""Early"", F6:F1000))))"),308.8)</f>
        <v>308.8</v>
      </c>
      <c r="Z6" s="21">
        <f>IFERROR(__xludf.DUMMYFUNCTION("AVERAGE(FILTER(Q6:Q1000, A6:A1000=V6, ISNUMBER(SEARCH(""Early"", F6:F1000))))"),40.0)</f>
        <v>40</v>
      </c>
      <c r="AA6" s="23">
        <f>IFERROR(__xludf.DUMMYFUNCTION("AVERAGE(FILTER(S6:S1000, A6:A1000=V6, ISNUMBER(SEARCH(""Early"", F6:F1000))))"),0.20038293583064598)</f>
        <v>0.2003829358</v>
      </c>
      <c r="AB6" s="21">
        <f>IFERROR(__xludf.DUMMYFUNCTION("AVERAGE(FILTER(K6:K1000, A6:A1000=V6, ISNUMBER(SEARCH(""Early"", F6:F1000))))"),3.6030150199198787)</f>
        <v>3.60301502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>
      <c r="A7" s="15" t="s">
        <v>20</v>
      </c>
      <c r="B7" s="15" t="s">
        <v>74</v>
      </c>
      <c r="C7" s="15" t="s">
        <v>74</v>
      </c>
      <c r="D7" s="15" t="s">
        <v>75</v>
      </c>
      <c r="E7" s="16">
        <v>41786.0</v>
      </c>
      <c r="F7" s="15" t="s">
        <v>65</v>
      </c>
      <c r="G7" s="15">
        <v>119.0</v>
      </c>
      <c r="H7" s="15">
        <v>7204.0</v>
      </c>
      <c r="I7" s="15">
        <v>262.0</v>
      </c>
      <c r="J7" s="15">
        <v>17.0</v>
      </c>
      <c r="K7" s="17">
        <v>3.6368684064408665</v>
      </c>
      <c r="L7" s="15">
        <v>120.0</v>
      </c>
      <c r="M7" s="15">
        <v>204.0</v>
      </c>
      <c r="N7" s="15">
        <v>103.0</v>
      </c>
      <c r="O7" s="15">
        <v>489.0</v>
      </c>
      <c r="P7" s="17">
        <v>386.0</v>
      </c>
      <c r="Q7" s="15">
        <v>46.0</v>
      </c>
      <c r="R7" s="18">
        <v>18.305</v>
      </c>
      <c r="S7" s="19">
        <v>0.17143365550310932</v>
      </c>
      <c r="T7" s="15">
        <v>106.776</v>
      </c>
      <c r="U7" s="21"/>
      <c r="V7" s="22" t="s">
        <v>29</v>
      </c>
      <c r="W7" s="22" t="s">
        <v>65</v>
      </c>
      <c r="X7" s="22">
        <f>IFERROR(__xludf.DUMMYFUNCTION("AVERAGE(FILTER(M7:M1000, A7:A1000=V7, ISNUMBER(SEARCH(""Early"", F7:F1000))))"),204.8)</f>
        <v>204.8</v>
      </c>
      <c r="Y7" s="22">
        <f>IFERROR(__xludf.DUMMYFUNCTION("AVERAGE(FILTER(P7:P1000, A7:A1000=V7, ISNUMBER(SEARCH(""Early"", F7:F1000))))"),284.6)</f>
        <v>284.6</v>
      </c>
      <c r="Z7" s="21">
        <f>IFERROR(__xludf.DUMMYFUNCTION("AVERAGE(FILTER(Q7:Q1000, A7:A1000=V7, ISNUMBER(SEARCH(""Early"", F7:F1000))))"),36.6)</f>
        <v>36.6</v>
      </c>
      <c r="AA7" s="23">
        <f>IFERROR(__xludf.DUMMYFUNCTION("AVERAGE(FILTER(S7:S1000, A7:A1000=V7, ISNUMBER(SEARCH(""Early"", F7:F1000))))"),0.08728169514821385)</f>
        <v>0.08728169515</v>
      </c>
      <c r="AB7" s="21">
        <f>IFERROR(__xludf.DUMMYFUNCTION("AVERAGE(FILTER(K7:K1000, A7:A1000=V7, ISNUMBER(SEARCH(""Early"", F7:F1000))))"),6.080496894157461)</f>
        <v>6.080496894</v>
      </c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>
      <c r="A8" s="15" t="s">
        <v>20</v>
      </c>
      <c r="B8" s="15" t="s">
        <v>76</v>
      </c>
      <c r="C8" s="15" t="s">
        <v>76</v>
      </c>
      <c r="D8" s="15" t="s">
        <v>77</v>
      </c>
      <c r="E8" s="16">
        <v>41791.0</v>
      </c>
      <c r="F8" s="15" t="s">
        <v>65</v>
      </c>
      <c r="G8" s="15">
        <v>123.0</v>
      </c>
      <c r="H8" s="15">
        <v>8305.0</v>
      </c>
      <c r="I8" s="15">
        <v>229.0</v>
      </c>
      <c r="J8" s="15">
        <v>19.0</v>
      </c>
      <c r="K8" s="17">
        <v>2.75737507525587</v>
      </c>
      <c r="L8" s="15">
        <v>120.0</v>
      </c>
      <c r="M8" s="15">
        <v>192.0</v>
      </c>
      <c r="N8" s="15">
        <v>92.0</v>
      </c>
      <c r="O8" s="15">
        <v>488.0</v>
      </c>
      <c r="P8" s="17">
        <v>396.0</v>
      </c>
      <c r="Q8" s="15">
        <v>38.0</v>
      </c>
      <c r="R8" s="18">
        <v>15.55</v>
      </c>
      <c r="S8" s="19">
        <v>0.19805889545547178</v>
      </c>
      <c r="T8" s="15">
        <v>78.512</v>
      </c>
      <c r="U8" s="21"/>
      <c r="V8" s="22" t="s">
        <v>31</v>
      </c>
      <c r="W8" s="22" t="s">
        <v>65</v>
      </c>
      <c r="X8" s="22">
        <f>IFERROR(__xludf.DUMMYFUNCTION("AVERAGE(FILTER(M8:M1000, A8:A1000=V8, ISNUMBER(SEARCH(""Early"", F8:F1000))))"),190.2)</f>
        <v>190.2</v>
      </c>
      <c r="Y8" s="22">
        <f>IFERROR(__xludf.DUMMYFUNCTION("AVERAGE(FILTER(P8:P1000, A8:A1000=V8, ISNUMBER(SEARCH(""Early"", F8:F1000))))"),288.8)</f>
        <v>288.8</v>
      </c>
      <c r="Z8" s="21">
        <f>IFERROR(__xludf.DUMMYFUNCTION("AVERAGE(FILTER(Q8:Q1000, A8:A1000=V8, ISNUMBER(SEARCH(""Early"", F8:F1000))))"),37.8)</f>
        <v>37.8</v>
      </c>
      <c r="AA8" s="23">
        <f>IFERROR(__xludf.DUMMYFUNCTION("AVERAGE(FILTER(S8:S1000, A8:A1000=V8, ISNUMBER(SEARCH(""Early"", F8:F1000))))"),0.295844957058993)</f>
        <v>0.2958449571</v>
      </c>
      <c r="AB8" s="21">
        <f>IFERROR(__xludf.DUMMYFUNCTION("AVERAGE(FILTER(K8:K1000, A8:A1000=V8, ISNUMBER(SEARCH(""Early"", F8:F1000))))"),5.044706968263409)</f>
        <v>5.044706968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>
      <c r="A9" s="15" t="s">
        <v>20</v>
      </c>
      <c r="B9" s="15" t="s">
        <v>78</v>
      </c>
      <c r="C9" s="15" t="s">
        <v>78</v>
      </c>
      <c r="D9" s="15" t="s">
        <v>79</v>
      </c>
      <c r="E9" s="16">
        <v>41811.0</v>
      </c>
      <c r="F9" s="15" t="s">
        <v>65</v>
      </c>
      <c r="G9" s="15">
        <v>143.0</v>
      </c>
      <c r="H9" s="15">
        <v>5949.0</v>
      </c>
      <c r="I9" s="15">
        <v>195.0</v>
      </c>
      <c r="J9" s="15">
        <v>21.0</v>
      </c>
      <c r="K9" s="17">
        <v>3.2778618255168936</v>
      </c>
      <c r="L9" s="15">
        <v>120.0</v>
      </c>
      <c r="M9" s="15">
        <v>206.0</v>
      </c>
      <c r="N9" s="15">
        <v>131.0</v>
      </c>
      <c r="O9" s="15">
        <v>283.0</v>
      </c>
      <c r="P9" s="17">
        <v>152.0</v>
      </c>
      <c r="Q9" s="15">
        <v>18.0</v>
      </c>
      <c r="R9" s="18">
        <v>14.92</v>
      </c>
      <c r="S9" s="19">
        <v>0.1642014439161824</v>
      </c>
      <c r="T9" s="15">
        <v>90.864</v>
      </c>
      <c r="U9" s="21"/>
      <c r="V9" s="22" t="s">
        <v>33</v>
      </c>
      <c r="W9" s="22" t="s">
        <v>65</v>
      </c>
      <c r="X9" s="22">
        <f>IFERROR(__xludf.DUMMYFUNCTION("AVERAGE(FILTER(M9:M1000, A9:A1000=V9, ISNUMBER(SEARCH(""Early"", F9:F1000))))"),211.2)</f>
        <v>211.2</v>
      </c>
      <c r="Y9" s="22">
        <f>IFERROR(__xludf.DUMMYFUNCTION("AVERAGE(FILTER(P9:P1000, A9:A1000=V9, ISNUMBER(SEARCH(""Early"", F9:F1000))))"),301.2)</f>
        <v>301.2</v>
      </c>
      <c r="Z9" s="21">
        <f>IFERROR(__xludf.DUMMYFUNCTION("AVERAGE(FILTER(Q9:Q1000, A9:A1000=V9, ISNUMBER(SEARCH(""Early"", F9:F1000))))"),35.6)</f>
        <v>35.6</v>
      </c>
      <c r="AA9" s="23">
        <f>IFERROR(__xludf.DUMMYFUNCTION("AVERAGE(FILTER(S9:S1000, A9:A1000=V9, ISNUMBER(SEARCH(""Early"", F9:F1000))))"),0.06439311984148585)</f>
        <v>0.06439311984</v>
      </c>
      <c r="AB9" s="21">
        <f>IFERROR(__xludf.DUMMYFUNCTION("AVERAGE(FILTER(K9:K1000, A9:A1000=V9, ISNUMBER(SEARCH(""Early"", F9:F1000))))"),3.9903990999550976)</f>
        <v>3.9903991</v>
      </c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>
      <c r="A10" s="15" t="s">
        <v>20</v>
      </c>
      <c r="B10" s="15" t="s">
        <v>80</v>
      </c>
      <c r="C10" s="15" t="s">
        <v>80</v>
      </c>
      <c r="D10" s="15" t="s">
        <v>81</v>
      </c>
      <c r="E10" s="16">
        <v>41821.0</v>
      </c>
      <c r="F10" s="15" t="s">
        <v>65</v>
      </c>
      <c r="G10" s="15">
        <v>153.0</v>
      </c>
      <c r="H10" s="15">
        <v>4254.0</v>
      </c>
      <c r="I10" s="15">
        <v>139.0</v>
      </c>
      <c r="J10" s="15">
        <v>9.0</v>
      </c>
      <c r="K10" s="17">
        <v>3.2675129290079923</v>
      </c>
      <c r="L10" s="15">
        <v>120.0</v>
      </c>
      <c r="M10" s="15">
        <v>203.0</v>
      </c>
      <c r="N10" s="15">
        <v>93.0</v>
      </c>
      <c r="O10" s="15">
        <v>414.0</v>
      </c>
      <c r="P10" s="17">
        <v>321.0</v>
      </c>
      <c r="Q10" s="15">
        <v>36.0</v>
      </c>
      <c r="R10" s="18">
        <v>6.65499999999992</v>
      </c>
      <c r="S10" s="19">
        <v>0.06324121940094192</v>
      </c>
      <c r="T10" s="15">
        <v>105.232</v>
      </c>
      <c r="U10" s="21"/>
      <c r="V10" s="22" t="s">
        <v>35</v>
      </c>
      <c r="W10" s="22" t="s">
        <v>65</v>
      </c>
      <c r="X10" s="22">
        <f>IFERROR(__xludf.DUMMYFUNCTION("AVERAGE(FILTER(M10:M1000, A10:A1000=V10, ISNUMBER(SEARCH(""Early"", F10:F1000))))"),230.2)</f>
        <v>230.2</v>
      </c>
      <c r="Y10" s="22">
        <f>IFERROR(__xludf.DUMMYFUNCTION("AVERAGE(FILTER(P10:P1000, A10:A1000=V10, ISNUMBER(SEARCH(""Early"", F10:F1000))))"),309.2)</f>
        <v>309.2</v>
      </c>
      <c r="Z10" s="21">
        <f>IFERROR(__xludf.DUMMYFUNCTION("AVERAGE(FILTER(Q10:Q1000, A10:A1000=V10, ISNUMBER(SEARCH(""Early"", F10:F1000))))"),45.2)</f>
        <v>45.2</v>
      </c>
      <c r="AA10" s="23">
        <f>IFERROR(__xludf.DUMMYFUNCTION("AVERAGE(FILTER(S10:S1000, A10:A1000=V10, ISNUMBER(SEARCH(""Early"", F10:F1000))))"),0.14293135969863885)</f>
        <v>0.1429313597</v>
      </c>
      <c r="AB10" s="21">
        <f>IFERROR(__xludf.DUMMYFUNCTION("AVERAGE(FILTER(K10:K1000, A10:A1000=V10, ISNUMBER(SEARCH(""Early"", F10:F1000))))"),2.665068874276089)</f>
        <v>2.665068874</v>
      </c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>
      <c r="A11" s="15" t="s">
        <v>20</v>
      </c>
      <c r="B11" s="15" t="s">
        <v>82</v>
      </c>
      <c r="C11" s="15" t="s">
        <v>82</v>
      </c>
      <c r="D11" s="15" t="s">
        <v>79</v>
      </c>
      <c r="E11" s="16">
        <v>41786.0</v>
      </c>
      <c r="F11" s="15" t="s">
        <v>65</v>
      </c>
      <c r="G11" s="15">
        <v>119.0</v>
      </c>
      <c r="H11" s="15">
        <v>24447.0</v>
      </c>
      <c r="I11" s="15">
        <v>618.0</v>
      </c>
      <c r="J11" s="15">
        <v>84.0</v>
      </c>
      <c r="K11" s="17">
        <v>2.5279175358939745</v>
      </c>
      <c r="L11" s="15">
        <v>120.0</v>
      </c>
      <c r="M11" s="15">
        <v>224.0</v>
      </c>
      <c r="N11" s="15">
        <v>92.0</v>
      </c>
      <c r="O11" s="15">
        <v>463.0</v>
      </c>
      <c r="P11" s="17">
        <v>371.0</v>
      </c>
      <c r="Q11" s="15">
        <v>44.0</v>
      </c>
      <c r="R11" s="18">
        <v>15.86</v>
      </c>
      <c r="S11" s="19">
        <v>0.14486664230909754</v>
      </c>
      <c r="T11" s="15">
        <v>109.48</v>
      </c>
      <c r="U11" s="21"/>
      <c r="V11" s="22" t="s">
        <v>37</v>
      </c>
      <c r="W11" s="22" t="s">
        <v>65</v>
      </c>
      <c r="X11" s="22">
        <f>IFERROR(__xludf.DUMMYFUNCTION("AVERAGE(FILTER(M11:M1000, A11:A1000=V11, ISNUMBER(SEARCH(""Early"", F11:F1000))))"),192.0)</f>
        <v>192</v>
      </c>
      <c r="Y11" s="22">
        <f>IFERROR(__xludf.DUMMYFUNCTION("AVERAGE(FILTER(P11:P1000, A11:A1000=V11, ISNUMBER(SEARCH(""Early"", F11:F1000))))"),269.6)</f>
        <v>269.6</v>
      </c>
      <c r="Z11" s="21">
        <f>IFERROR(__xludf.DUMMYFUNCTION("AVERAGE(FILTER(Q11:Q1000, A11:A1000=V11, ISNUMBER(SEARCH(""Early"", F11:F1000))))"),29.8)</f>
        <v>29.8</v>
      </c>
      <c r="AA11" s="23">
        <f>IFERROR(__xludf.DUMMYFUNCTION("AVERAGE(FILTER(S11:S1000, A11:A1000=V11, ISNUMBER(SEARCH(""Early"", F11:F1000))))"),0.10231885806169887)</f>
        <v>0.1023188581</v>
      </c>
      <c r="AB11" s="21">
        <f>IFERROR(__xludf.DUMMYFUNCTION("AVERAGE(FILTER(K11:K1000, A11:A1000=V11, ISNUMBER(SEARCH(""Early"", F11:F1000))))"),6.519386798964684)</f>
        <v>6.519386799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>
      <c r="A12" s="24" t="s">
        <v>22</v>
      </c>
      <c r="B12" s="15" t="s">
        <v>83</v>
      </c>
      <c r="C12" s="15" t="s">
        <v>83</v>
      </c>
      <c r="D12" s="15" t="s">
        <v>84</v>
      </c>
      <c r="E12" s="16">
        <v>44659.0</v>
      </c>
      <c r="F12" s="15" t="s">
        <v>65</v>
      </c>
      <c r="G12" s="15">
        <v>4300.0</v>
      </c>
      <c r="H12" s="15">
        <v>348968.0</v>
      </c>
      <c r="I12" s="15">
        <v>17650.0</v>
      </c>
      <c r="J12" s="15">
        <v>465.0</v>
      </c>
      <c r="K12" s="17">
        <v>5.057770339973866</v>
      </c>
      <c r="L12" s="15">
        <v>120.0</v>
      </c>
      <c r="M12" s="15">
        <v>231.0</v>
      </c>
      <c r="N12" s="15">
        <v>100.0</v>
      </c>
      <c r="O12" s="15">
        <v>380.0</v>
      </c>
      <c r="P12" s="17">
        <v>280.0</v>
      </c>
      <c r="Q12" s="15">
        <v>44.0</v>
      </c>
      <c r="R12" s="15">
        <v>13.175</v>
      </c>
      <c r="S12" s="19">
        <v>0.11845465007552328</v>
      </c>
      <c r="T12" s="15">
        <v>111.224</v>
      </c>
      <c r="V12" s="15" t="s">
        <v>12</v>
      </c>
      <c r="W12" s="15" t="s">
        <v>85</v>
      </c>
      <c r="X12" s="22">
        <f>IFERROR(__xludf.DUMMYFUNCTION("AVERAGE(FILTER(M12:M1000, A12:A1000=V12, ISNUMBER(SEARCH(""Late"", F12:F1000))))"),236.8)</f>
        <v>236.8</v>
      </c>
      <c r="Y12" s="25">
        <f>IFERROR(__xludf.DUMMYFUNCTION("AVERAGE(FILTER(P12:P1000, A12:A1000=V12, ISNUMBER(SEARCH(""Late"", F12:F1000))))"),345.8)</f>
        <v>345.8</v>
      </c>
      <c r="Z12" s="25">
        <f>IFERROR(__xludf.DUMMYFUNCTION("AVERAGE(FILTER(Q12:Q1000, A12:A1000=V12, ISNUMBER(SEARCH(""Late"", F12:F1000))))"),41.2)</f>
        <v>41.2</v>
      </c>
      <c r="AA12" s="26">
        <f>IFERROR(__xludf.DUMMYFUNCTION("AVERAGE(FILTER(S12:S1000, A12:A1000=V12, ISNUMBER(SEARCH(""Late"", F12:F1000))))"),0.020101783269894917)</f>
        <v>0.02010178327</v>
      </c>
      <c r="AB12" s="25">
        <f>IFERROR(__xludf.DUMMYFUNCTION("AVERAGE(FILTER(K12:K1000, A12:A1000=V12, ISNUMBER(SEARCH(""Late"", F12:F1000))))"),6.3425992727979335)</f>
        <v>6.342599273</v>
      </c>
    </row>
    <row r="13">
      <c r="A13" s="24" t="s">
        <v>22</v>
      </c>
      <c r="B13" s="15" t="s">
        <v>86</v>
      </c>
      <c r="C13" s="15" t="s">
        <v>86</v>
      </c>
      <c r="D13" s="15" t="s">
        <v>87</v>
      </c>
      <c r="E13" s="16">
        <v>44709.0</v>
      </c>
      <c r="F13" s="15" t="s">
        <v>65</v>
      </c>
      <c r="G13" s="15">
        <v>4351.0</v>
      </c>
      <c r="H13" s="15">
        <v>888765.0</v>
      </c>
      <c r="I13" s="15">
        <v>30647.0</v>
      </c>
      <c r="J13" s="15">
        <v>746.0</v>
      </c>
      <c r="K13" s="17">
        <v>3.448268102366767</v>
      </c>
      <c r="L13" s="15">
        <v>120.0</v>
      </c>
      <c r="M13" s="15">
        <v>215.0</v>
      </c>
      <c r="N13" s="15">
        <v>110.0</v>
      </c>
      <c r="O13" s="15">
        <v>258.0</v>
      </c>
      <c r="P13" s="17">
        <v>148.0</v>
      </c>
      <c r="Q13" s="15">
        <v>34.0</v>
      </c>
      <c r="R13" s="15">
        <v>11.03</v>
      </c>
      <c r="S13" s="19">
        <v>0.1067970565453137</v>
      </c>
      <c r="T13" s="15">
        <v>103.28</v>
      </c>
      <c r="V13" s="15" t="s">
        <v>20</v>
      </c>
      <c r="W13" s="15" t="s">
        <v>85</v>
      </c>
      <c r="X13" s="22">
        <f>IFERROR(__xludf.DUMMYFUNCTION("AVERAGE(FILTER(M13:M1000, A13:A1000=V13, ISNUMBER(SEARCH(""Late"", F13:F1000))))"),205.4)</f>
        <v>205.4</v>
      </c>
      <c r="Y13" s="25">
        <f>IFERROR(__xludf.DUMMYFUNCTION("AVERAGE(FILTER(P13:P1000, A13:A1000=V13, ISNUMBER(SEARCH(""Late"", F13:F1000))))"),284.2)</f>
        <v>284.2</v>
      </c>
      <c r="Z13" s="25">
        <f>IFERROR(__xludf.DUMMYFUNCTION("AVERAGE(FILTER(Q13:Q1000, A13:A1000=V13, ISNUMBER(SEARCH(""Late"", F13:F1000))))"),39.0)</f>
        <v>39</v>
      </c>
      <c r="AA13" s="26">
        <f>IFERROR(__xludf.DUMMYFUNCTION("AVERAGE(FILTER(S13:S1000, A13:A1000=V13, ISNUMBER(SEARCH(""Late"", F13:F1000))))"),0.08323663831263874)</f>
        <v>0.08323663831</v>
      </c>
      <c r="AB13" s="25">
        <f>IFERROR(__xludf.DUMMYFUNCTION("AVERAGE(FILTER(K13:K1000, A13:A1000=V13, ISNUMBER(SEARCH(""Late"", F13:F1000))))"),6.546852949109981)</f>
        <v>6.546852949</v>
      </c>
    </row>
    <row r="14">
      <c r="A14" s="24" t="s">
        <v>22</v>
      </c>
      <c r="B14" s="15" t="s">
        <v>88</v>
      </c>
      <c r="C14" s="15" t="s">
        <v>88</v>
      </c>
      <c r="D14" s="15" t="s">
        <v>64</v>
      </c>
      <c r="E14" s="16">
        <v>44750.0</v>
      </c>
      <c r="F14" s="15" t="s">
        <v>65</v>
      </c>
      <c r="G14" s="15">
        <v>4391.0</v>
      </c>
      <c r="H14" s="15">
        <v>552030.0</v>
      </c>
      <c r="I14" s="15">
        <v>20941.0</v>
      </c>
      <c r="J14" s="15">
        <v>668.0</v>
      </c>
      <c r="K14" s="17">
        <v>3.7934532543521184</v>
      </c>
      <c r="L14" s="15">
        <v>120.0</v>
      </c>
      <c r="M14" s="15">
        <v>222.0</v>
      </c>
      <c r="N14" s="15">
        <v>100.0</v>
      </c>
      <c r="O14" s="15">
        <v>362.0</v>
      </c>
      <c r="P14" s="17">
        <v>262.0</v>
      </c>
      <c r="Q14" s="15">
        <v>33.0</v>
      </c>
      <c r="R14" s="15">
        <v>3.39</v>
      </c>
      <c r="S14" s="19">
        <v>0.028713240276460227</v>
      </c>
      <c r="T14" s="15">
        <v>118.064</v>
      </c>
      <c r="V14" s="15" t="s">
        <v>22</v>
      </c>
      <c r="W14" s="15" t="s">
        <v>85</v>
      </c>
      <c r="X14" s="22">
        <f>IFERROR(__xludf.DUMMYFUNCTION("AVERAGE(FILTER(M14:M1000, A14:A1000=V14, ISNUMBER(SEARCH(""Late"", F14:F1000))))"),209.0)</f>
        <v>209</v>
      </c>
      <c r="Y14" s="25">
        <f>IFERROR(__xludf.DUMMYFUNCTION("AVERAGE(FILTER(P14:P1000, A14:A1000=V14, ISNUMBER(SEARCH(""Late"", F14:F1000))))"),310.2)</f>
        <v>310.2</v>
      </c>
      <c r="Z14" s="25">
        <f>IFERROR(__xludf.DUMMYFUNCTION("AVERAGE(FILTER(Q14:Q1000, A14:A1000=V14, ISNUMBER(SEARCH(""Late"", F14:F1000))))"),36.4)</f>
        <v>36.4</v>
      </c>
      <c r="AA14" s="26">
        <f>IFERROR(__xludf.DUMMYFUNCTION("AVERAGE(FILTER(S14:S1000, A14:A1000=V14, ISNUMBER(SEARCH(""Late"", F14:F1000))))"),0.05188927745863423)</f>
        <v>0.05188927746</v>
      </c>
      <c r="AB14" s="25">
        <f>IFERROR(__xludf.DUMMYFUNCTION("AVERAGE(FILTER(K14:K1000, A14:A1000=V14, ISNUMBER(SEARCH(""Late"", F14:F1000))))"),4.341522338340253)</f>
        <v>4.341522338</v>
      </c>
    </row>
    <row r="15">
      <c r="A15" s="24" t="s">
        <v>22</v>
      </c>
      <c r="B15" s="15" t="s">
        <v>89</v>
      </c>
      <c r="C15" s="15" t="s">
        <v>89</v>
      </c>
      <c r="D15" s="15" t="s">
        <v>90</v>
      </c>
      <c r="E15" s="16">
        <v>44771.0</v>
      </c>
      <c r="F15" s="15" t="s">
        <v>65</v>
      </c>
      <c r="G15" s="15">
        <v>4412.0</v>
      </c>
      <c r="H15" s="15">
        <v>1022124.0</v>
      </c>
      <c r="I15" s="15">
        <v>34702.0</v>
      </c>
      <c r="J15" s="15">
        <v>982.0</v>
      </c>
      <c r="K15" s="17">
        <v>3.3950870931511243</v>
      </c>
      <c r="L15" s="15">
        <v>120.0</v>
      </c>
      <c r="M15" s="15">
        <v>226.0</v>
      </c>
      <c r="N15" s="15">
        <v>89.0</v>
      </c>
      <c r="O15" s="15">
        <v>392.0</v>
      </c>
      <c r="P15" s="17">
        <v>303.0</v>
      </c>
      <c r="Q15" s="15">
        <v>36.0</v>
      </c>
      <c r="R15" s="15">
        <v>9.93</v>
      </c>
      <c r="S15" s="19">
        <v>0.08922153536515239</v>
      </c>
      <c r="T15" s="15">
        <v>111.296</v>
      </c>
      <c r="V15" s="15" t="s">
        <v>24</v>
      </c>
      <c r="W15" s="15" t="s">
        <v>85</v>
      </c>
      <c r="X15" s="22">
        <f>IFERROR(__xludf.DUMMYFUNCTION("AVERAGE(FILTER(M15:M1000, A15:A1000=V15, ISNUMBER(SEARCH(""Late"", F15:F1000))))"),225.0)</f>
        <v>225</v>
      </c>
      <c r="Y15" s="25">
        <f>IFERROR(__xludf.DUMMYFUNCTION("AVERAGE(FILTER(P15:P1000, A15:A1000=V15, ISNUMBER(SEARCH(""Late"", F15:F1000))))"),331.4)</f>
        <v>331.4</v>
      </c>
      <c r="Z15" s="25">
        <f>IFERROR(__xludf.DUMMYFUNCTION("AVERAGE(FILTER(Q15:Q1000, A15:A1000=V15, ISNUMBER(SEARCH(""Late"", F15:F1000))))"),39.6)</f>
        <v>39.6</v>
      </c>
      <c r="AA15" s="26">
        <f>IFERROR(__xludf.DUMMYFUNCTION("AVERAGE(FILTER(S15:S1000, A15:A1000=V15, ISNUMBER(SEARCH(""Late"", F15:F1000))))"),0.14358548013854391)</f>
        <v>0.1435854801</v>
      </c>
      <c r="AB15" s="25">
        <f>IFERROR(__xludf.DUMMYFUNCTION("AVERAGE(FILTER(K15:K1000, A15:A1000=V15, ISNUMBER(SEARCH(""Late"", F15:F1000))))"),7.369104068737134)</f>
        <v>7.369104069</v>
      </c>
    </row>
    <row r="16">
      <c r="A16" s="24" t="s">
        <v>22</v>
      </c>
      <c r="B16" s="15" t="s">
        <v>91</v>
      </c>
      <c r="C16" s="15" t="s">
        <v>91</v>
      </c>
      <c r="D16" s="15" t="s">
        <v>92</v>
      </c>
      <c r="E16" s="16">
        <v>44617.0</v>
      </c>
      <c r="F16" s="15" t="s">
        <v>65</v>
      </c>
      <c r="G16" s="15">
        <v>4258.0</v>
      </c>
      <c r="H16" s="15">
        <v>659746.0</v>
      </c>
      <c r="I16" s="15">
        <v>27268.0</v>
      </c>
      <c r="J16" s="15">
        <v>634.0</v>
      </c>
      <c r="K16" s="17">
        <v>4.133105771008843</v>
      </c>
      <c r="L16" s="15">
        <v>120.0</v>
      </c>
      <c r="M16" s="15">
        <v>239.0</v>
      </c>
      <c r="N16" s="15">
        <v>102.0</v>
      </c>
      <c r="O16" s="15">
        <v>339.0</v>
      </c>
      <c r="P16" s="17">
        <v>237.0</v>
      </c>
      <c r="Q16" s="15">
        <v>49.0</v>
      </c>
      <c r="R16" s="15">
        <v>9.19</v>
      </c>
      <c r="S16" s="19">
        <v>0.07916408242023361</v>
      </c>
      <c r="T16" s="15">
        <v>116.087999999999</v>
      </c>
      <c r="V16" s="15" t="s">
        <v>27</v>
      </c>
      <c r="W16" s="15" t="s">
        <v>85</v>
      </c>
      <c r="X16" s="22">
        <f>IFERROR(__xludf.DUMMYFUNCTION("AVERAGE(FILTER(M16:M1000, A16:A1000=V16, ISNUMBER(SEARCH(""Late"", F16:F1000))))"),231.2)</f>
        <v>231.2</v>
      </c>
      <c r="Y16" s="25">
        <f>IFERROR(__xludf.DUMMYFUNCTION("AVERAGE(FILTER(P16:P1000, A16:A1000=V16, ISNUMBER(SEARCH(""Late"", F16:F1000))))"),351.8)</f>
        <v>351.8</v>
      </c>
      <c r="Z16" s="25">
        <f>IFERROR(__xludf.DUMMYFUNCTION("AVERAGE(FILTER(Q16:Q1000, A16:A1000=V16, ISNUMBER(SEARCH(""Late"", F16:F1000))))"),44.6)</f>
        <v>44.6</v>
      </c>
      <c r="AA16" s="26">
        <f>IFERROR(__xludf.DUMMYFUNCTION("AVERAGE(FILTER(S16:S1000, A16:A1000=V16, ISNUMBER(SEARCH(""Late"", F16:F1000))))"),0.1118857536314735)</f>
        <v>0.1118857536</v>
      </c>
      <c r="AB16" s="25">
        <f>IFERROR(__xludf.DUMMYFUNCTION("AVERAGE(FILTER(K16:K1000, A16:A1000=V16, ISNUMBER(SEARCH(""Late"", F16:F1000))))"),5.1349342481417946)</f>
        <v>5.134934248</v>
      </c>
    </row>
    <row r="17">
      <c r="A17" s="27" t="s">
        <v>24</v>
      </c>
      <c r="B17" s="15" t="s">
        <v>93</v>
      </c>
      <c r="C17" s="15" t="s">
        <v>93</v>
      </c>
      <c r="D17" s="15" t="s">
        <v>94</v>
      </c>
      <c r="E17" s="16">
        <v>42878.0</v>
      </c>
      <c r="F17" s="15" t="s">
        <v>65</v>
      </c>
      <c r="G17" s="15">
        <v>908.0</v>
      </c>
      <c r="H17" s="15">
        <v>26527.0</v>
      </c>
      <c r="I17" s="15">
        <v>1544.0</v>
      </c>
      <c r="J17" s="15">
        <v>99.0</v>
      </c>
      <c r="K17" s="17">
        <v>5.820484789082822</v>
      </c>
      <c r="L17" s="15">
        <v>120.0</v>
      </c>
      <c r="M17" s="15">
        <v>262.0</v>
      </c>
      <c r="N17" s="15">
        <v>215.0</v>
      </c>
      <c r="O17" s="15">
        <v>369.0</v>
      </c>
      <c r="P17" s="17">
        <v>154.0</v>
      </c>
      <c r="Q17" s="15">
        <v>36.0</v>
      </c>
      <c r="R17" s="15">
        <v>44.22</v>
      </c>
      <c r="S17" s="19">
        <v>0.6343968782279353</v>
      </c>
      <c r="T17" s="15">
        <v>69.704</v>
      </c>
      <c r="V17" s="15" t="s">
        <v>29</v>
      </c>
      <c r="W17" s="15" t="s">
        <v>85</v>
      </c>
      <c r="X17" s="22">
        <f>IFERROR(__xludf.DUMMYFUNCTION("AVERAGE(FILTER(M17:M1000, A17:A1000=V17, ISNUMBER(SEARCH(""Late"", F17:F1000))))"),180.8)</f>
        <v>180.8</v>
      </c>
      <c r="Y17" s="25">
        <f>IFERROR(__xludf.DUMMYFUNCTION("AVERAGE(FILTER(P17:P1000, A17:A1000=V17, ISNUMBER(SEARCH(""Late"", F17:F1000))))"),303.0)</f>
        <v>303</v>
      </c>
      <c r="Z17" s="25">
        <f>IFERROR(__xludf.DUMMYFUNCTION("AVERAGE(FILTER(Q17:Q1000, A17:A1000=V17, ISNUMBER(SEARCH(""Late"", F17:F1000))))"),31.8)</f>
        <v>31.8</v>
      </c>
      <c r="AA17" s="26">
        <f>IFERROR(__xludf.DUMMYFUNCTION("AVERAGE(FILTER(S17:S1000, A17:A1000=V17, ISNUMBER(SEARCH(""Late"", F17:F1000))))"),0.09130432841446531)</f>
        <v>0.09130432841</v>
      </c>
      <c r="AB17" s="25">
        <f>IFERROR(__xludf.DUMMYFUNCTION("AVERAGE(FILTER(K17:K1000, A17:A1000=V17, ISNUMBER(SEARCH(""Late"", F17:F1000))))"),9.387407185042715)</f>
        <v>9.387407185</v>
      </c>
    </row>
    <row r="18">
      <c r="A18" s="27" t="s">
        <v>24</v>
      </c>
      <c r="B18" s="15" t="s">
        <v>95</v>
      </c>
      <c r="C18" s="15" t="s">
        <v>95</v>
      </c>
      <c r="D18" s="15" t="s">
        <v>96</v>
      </c>
      <c r="E18" s="16">
        <v>42826.0</v>
      </c>
      <c r="F18" s="15" t="s">
        <v>65</v>
      </c>
      <c r="G18" s="15">
        <v>856.0</v>
      </c>
      <c r="H18" s="15">
        <v>48334.0</v>
      </c>
      <c r="I18" s="15">
        <v>2030.0</v>
      </c>
      <c r="J18" s="15">
        <v>244.0</v>
      </c>
      <c r="K18" s="17">
        <v>4.199942069764555</v>
      </c>
      <c r="L18" s="15">
        <v>120.0</v>
      </c>
      <c r="M18" s="15">
        <v>253.0</v>
      </c>
      <c r="N18" s="15">
        <v>111.0</v>
      </c>
      <c r="O18" s="15">
        <v>387.0</v>
      </c>
      <c r="P18" s="17">
        <v>276.0</v>
      </c>
      <c r="Q18" s="15">
        <v>33.0</v>
      </c>
      <c r="R18" s="15">
        <v>21.14</v>
      </c>
      <c r="S18" s="19">
        <v>0.22403560830860558</v>
      </c>
      <c r="T18" s="15">
        <v>94.3599999999999</v>
      </c>
      <c r="V18" s="15" t="s">
        <v>31</v>
      </c>
      <c r="W18" s="15" t="s">
        <v>85</v>
      </c>
      <c r="X18" s="22">
        <f>IFERROR(__xludf.DUMMYFUNCTION("AVERAGE(FILTER(M18:M1000, A18:A1000=V18, ISNUMBER(SEARCH(""Late"", F18:F1000))))"),195.0)</f>
        <v>195</v>
      </c>
      <c r="Y18" s="25">
        <f>IFERROR(__xludf.DUMMYFUNCTION("AVERAGE(FILTER(P18:P1000, A18:A1000=V18, ISNUMBER(SEARCH(""Late"", F18:F1000))))"),353.4)</f>
        <v>353.4</v>
      </c>
      <c r="Z18" s="25">
        <f>IFERROR(__xludf.DUMMYFUNCTION("AVERAGE(FILTER(Q18:Q1000, A18:A1000=V18, ISNUMBER(SEARCH(""Late"", F18:F1000))))"),44.4)</f>
        <v>44.4</v>
      </c>
      <c r="AA18" s="26">
        <f>IFERROR(__xludf.DUMMYFUNCTION("AVERAGE(FILTER(S18:S1000, A18:A1000=V18, ISNUMBER(SEARCH(""Late"", F18:F1000))))"),0.09774081118703866)</f>
        <v>0.09774081119</v>
      </c>
      <c r="AB18" s="25">
        <f>IFERROR(__xludf.DUMMYFUNCTION("AVERAGE(FILTER(K18:K1000, A18:A1000=V18, ISNUMBER(SEARCH(""Late"", F18:F1000))))"),10.537619211681365)</f>
        <v>10.53761921</v>
      </c>
    </row>
    <row r="19">
      <c r="A19" s="27" t="s">
        <v>24</v>
      </c>
      <c r="B19" s="15" t="s">
        <v>97</v>
      </c>
      <c r="C19" s="15" t="s">
        <v>97</v>
      </c>
      <c r="D19" s="15" t="s">
        <v>96</v>
      </c>
      <c r="E19" s="16">
        <v>42767.0</v>
      </c>
      <c r="F19" s="15" t="s">
        <v>65</v>
      </c>
      <c r="G19" s="15">
        <v>797.0</v>
      </c>
      <c r="H19" s="15">
        <v>53863.0</v>
      </c>
      <c r="I19" s="15">
        <v>3178.0</v>
      </c>
      <c r="J19" s="15">
        <v>569.0</v>
      </c>
      <c r="K19" s="17">
        <v>5.900154094647532</v>
      </c>
      <c r="L19" s="15">
        <v>120.0</v>
      </c>
      <c r="M19" s="15">
        <v>254.0</v>
      </c>
      <c r="N19" s="15">
        <v>102.0</v>
      </c>
      <c r="O19" s="15">
        <v>462.0</v>
      </c>
      <c r="P19" s="17">
        <v>360.0</v>
      </c>
      <c r="Q19" s="15">
        <v>49.0</v>
      </c>
      <c r="R19" s="15">
        <v>19.08</v>
      </c>
      <c r="S19" s="19">
        <v>0.18577660071662253</v>
      </c>
      <c r="T19" s="15">
        <v>102.704</v>
      </c>
      <c r="V19" s="15" t="s">
        <v>33</v>
      </c>
      <c r="W19" s="15" t="s">
        <v>85</v>
      </c>
      <c r="X19" s="22">
        <f>IFERROR(__xludf.DUMMYFUNCTION("AVERAGE(FILTER(M19:M1000, A19:A1000=V19, ISNUMBER(SEARCH(""Late"", F19:F1000))))"),214.4)</f>
        <v>214.4</v>
      </c>
      <c r="Y19" s="25">
        <f>IFERROR(__xludf.DUMMYFUNCTION("AVERAGE(FILTER(P19:P1000, A19:A1000=V19, ISNUMBER(SEARCH(""Late"", F19:F1000))))"),329.8)</f>
        <v>329.8</v>
      </c>
      <c r="Z19" s="25">
        <f>IFERROR(__xludf.DUMMYFUNCTION("AVERAGE(FILTER(Q19:Q1000, A19:A1000=V19, ISNUMBER(SEARCH(""Late"", F19:F1000))))"),41.2)</f>
        <v>41.2</v>
      </c>
      <c r="AA19" s="26">
        <f>IFERROR(__xludf.DUMMYFUNCTION("AVERAGE(FILTER(S19:S1000, A19:A1000=V19, ISNUMBER(SEARCH(""Late"", F19:F1000))))"),0.03864303980520446)</f>
        <v>0.03864303981</v>
      </c>
      <c r="AB19" s="25">
        <f>IFERROR(__xludf.DUMMYFUNCTION("AVERAGE(FILTER(K19:K1000, A19:A1000=V19, ISNUMBER(SEARCH(""Late"", F19:F1000))))"),7.058006013450371)</f>
        <v>7.058006013</v>
      </c>
    </row>
    <row r="20">
      <c r="A20" s="27" t="s">
        <v>24</v>
      </c>
      <c r="B20" s="15" t="s">
        <v>98</v>
      </c>
      <c r="C20" s="15" t="s">
        <v>98</v>
      </c>
      <c r="D20" s="15" t="s">
        <v>96</v>
      </c>
      <c r="E20" s="16">
        <v>42856.0</v>
      </c>
      <c r="F20" s="15" t="s">
        <v>65</v>
      </c>
      <c r="G20" s="15">
        <v>886.0</v>
      </c>
      <c r="H20" s="15">
        <v>51461.0</v>
      </c>
      <c r="I20" s="15">
        <v>1887.0</v>
      </c>
      <c r="J20" s="15">
        <v>257.0</v>
      </c>
      <c r="K20" s="17">
        <v>3.6668545111832263</v>
      </c>
      <c r="L20" s="15">
        <v>120.0</v>
      </c>
      <c r="M20" s="15">
        <v>245.0</v>
      </c>
      <c r="N20" s="15">
        <v>179.0</v>
      </c>
      <c r="O20" s="15">
        <v>408.0</v>
      </c>
      <c r="P20" s="17">
        <v>229.0</v>
      </c>
      <c r="Q20" s="15">
        <v>33.0</v>
      </c>
      <c r="R20" s="15">
        <v>22.83</v>
      </c>
      <c r="S20" s="19">
        <v>0.2446001542813065</v>
      </c>
      <c r="T20" s="15">
        <v>93.3359999999999</v>
      </c>
      <c r="V20" s="15" t="s">
        <v>35</v>
      </c>
      <c r="W20" s="15" t="s">
        <v>85</v>
      </c>
      <c r="X20" s="22">
        <f>IFERROR(__xludf.DUMMYFUNCTION("AVERAGE(FILTER(M20:M1000, A20:A1000=V20, ISNUMBER(SEARCH(""Late"", F20:F1000))))"),216.4)</f>
        <v>216.4</v>
      </c>
      <c r="Y20" s="25">
        <f>IFERROR(__xludf.DUMMYFUNCTION("AVERAGE(FILTER(P20:P1000, A20:A1000=V20, ISNUMBER(SEARCH(""Late"", F20:F1000))))"),292.2)</f>
        <v>292.2</v>
      </c>
      <c r="Z20" s="25">
        <f>IFERROR(__xludf.DUMMYFUNCTION("AVERAGE(FILTER(Q20:Q1000, A20:A1000=V20, ISNUMBER(SEARCH(""Late"", F20:F1000))))"),40.0)</f>
        <v>40</v>
      </c>
      <c r="AA20" s="26">
        <f>IFERROR(__xludf.DUMMYFUNCTION("AVERAGE(FILTER(S20:S1000, A20:A1000=V20, ISNUMBER(SEARCH(""Late"", F20:F1000))))"),0.12430862545149371)</f>
        <v>0.1243086255</v>
      </c>
      <c r="AB20" s="25">
        <f>IFERROR(__xludf.DUMMYFUNCTION("AVERAGE(FILTER(K20:K1000, A20:A1000=V20, ISNUMBER(SEARCH(""Late"", F20:F1000))))"),9.231958486967102)</f>
        <v>9.231958487</v>
      </c>
    </row>
    <row r="21">
      <c r="A21" s="27" t="s">
        <v>24</v>
      </c>
      <c r="B21" s="15" t="s">
        <v>99</v>
      </c>
      <c r="C21" s="15" t="s">
        <v>99</v>
      </c>
      <c r="D21" s="15" t="s">
        <v>96</v>
      </c>
      <c r="E21" s="16">
        <v>42796.0</v>
      </c>
      <c r="F21" s="15" t="s">
        <v>65</v>
      </c>
      <c r="G21" s="15">
        <v>825.0</v>
      </c>
      <c r="H21" s="15">
        <v>49462.0</v>
      </c>
      <c r="I21" s="15">
        <v>1976.0</v>
      </c>
      <c r="J21" s="15">
        <v>225.0</v>
      </c>
      <c r="K21" s="17">
        <v>3.9949860498968905</v>
      </c>
      <c r="L21" s="15">
        <v>120.0</v>
      </c>
      <c r="M21" s="15">
        <v>237.0</v>
      </c>
      <c r="N21" s="15">
        <v>102.0</v>
      </c>
      <c r="O21" s="15">
        <v>462.0</v>
      </c>
      <c r="P21" s="17">
        <v>360.0</v>
      </c>
      <c r="Q21" s="15">
        <v>43.0</v>
      </c>
      <c r="R21" s="15">
        <v>18.245</v>
      </c>
      <c r="S21" s="19">
        <v>0.18430782285437225</v>
      </c>
      <c r="T21" s="15">
        <v>98.9919999999999</v>
      </c>
      <c r="V21" s="15" t="s">
        <v>37</v>
      </c>
      <c r="W21" s="15" t="s">
        <v>85</v>
      </c>
      <c r="X21" s="22">
        <f>IFERROR(__xludf.DUMMYFUNCTION("AVERAGE(FILTER(M21:M1000, A21:A1000=V21, ISNUMBER(SEARCH(""Late"", F21:F1000))))"),200.2)</f>
        <v>200.2</v>
      </c>
      <c r="Y21" s="25">
        <f>IFERROR(__xludf.DUMMYFUNCTION("AVERAGE(FILTER(P21:P1000, A21:A1000=V21, ISNUMBER(SEARCH(""Late"", F21:F1000))))"),291.0)</f>
        <v>291</v>
      </c>
      <c r="Z21" s="25">
        <f>IFERROR(__xludf.DUMMYFUNCTION("AVERAGE(FILTER(Q21:Q1000, A21:A1000=V21, ISNUMBER(SEARCH(""Late"", F21:F1000))))"),34.8)</f>
        <v>34.8</v>
      </c>
      <c r="AA21" s="26">
        <f>IFERROR(__xludf.DUMMYFUNCTION("AVERAGE(FILTER(S21:S1000, A21:A1000=V21, ISNUMBER(SEARCH(""Late"", F21:F1000))))"),0.10720068443650685)</f>
        <v>0.1072006844</v>
      </c>
      <c r="AB21" s="25">
        <f>IFERROR(__xludf.DUMMYFUNCTION("AVERAGE(FILTER(K21:K1000, A21:A1000=V21, ISNUMBER(SEARCH(""Late"", F21:F1000))))"),7.183373805422802)</f>
        <v>7.183373805</v>
      </c>
    </row>
    <row r="22">
      <c r="A22" s="24" t="s">
        <v>27</v>
      </c>
      <c r="B22" s="15" t="s">
        <v>100</v>
      </c>
      <c r="C22" s="15" t="s">
        <v>100</v>
      </c>
      <c r="D22" s="15" t="s">
        <v>101</v>
      </c>
      <c r="E22" s="16">
        <v>44175.0</v>
      </c>
      <c r="F22" s="15" t="s">
        <v>65</v>
      </c>
      <c r="G22" s="15">
        <v>1904.0</v>
      </c>
      <c r="H22" s="15">
        <v>155.0</v>
      </c>
      <c r="I22" s="15">
        <v>5.0</v>
      </c>
      <c r="J22" s="15">
        <v>1.0</v>
      </c>
      <c r="K22" s="17">
        <v>3.225806451612903</v>
      </c>
      <c r="L22" s="15">
        <v>120.0</v>
      </c>
      <c r="M22" s="15">
        <v>232.0</v>
      </c>
      <c r="N22" s="15">
        <v>89.0</v>
      </c>
      <c r="O22" s="15">
        <v>413.0</v>
      </c>
      <c r="P22" s="17">
        <v>324.0</v>
      </c>
      <c r="Q22" s="15">
        <v>46.0</v>
      </c>
      <c r="R22" s="15">
        <v>25.42</v>
      </c>
      <c r="S22" s="19">
        <v>0.23542268652293322</v>
      </c>
      <c r="T22" s="15">
        <v>107.975999999999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>
      <c r="A23" s="24" t="s">
        <v>27</v>
      </c>
      <c r="B23" s="15" t="s">
        <v>100</v>
      </c>
      <c r="C23" s="15" t="s">
        <v>100</v>
      </c>
      <c r="D23" s="15" t="s">
        <v>102</v>
      </c>
      <c r="E23" s="16">
        <v>44175.0</v>
      </c>
      <c r="F23" s="15" t="s">
        <v>65</v>
      </c>
      <c r="G23" s="15">
        <v>1904.0</v>
      </c>
      <c r="H23" s="15">
        <v>155.0</v>
      </c>
      <c r="I23" s="15">
        <v>5.0</v>
      </c>
      <c r="J23" s="15">
        <v>1.0</v>
      </c>
      <c r="K23" s="17">
        <v>3.225806451612903</v>
      </c>
      <c r="L23" s="15">
        <v>120.0</v>
      </c>
      <c r="M23" s="15">
        <v>223.0</v>
      </c>
      <c r="N23" s="15">
        <v>89.0</v>
      </c>
      <c r="O23" s="15">
        <v>429.0</v>
      </c>
      <c r="P23" s="17">
        <v>340.0</v>
      </c>
      <c r="Q23" s="15">
        <v>49.0</v>
      </c>
      <c r="R23" s="15">
        <v>24.635</v>
      </c>
      <c r="S23" s="19">
        <v>0.23934206435566613</v>
      </c>
      <c r="T23" s="15">
        <v>102.928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>
      <c r="A24" s="24" t="s">
        <v>27</v>
      </c>
      <c r="B24" s="15" t="s">
        <v>103</v>
      </c>
      <c r="C24" s="15" t="s">
        <v>103</v>
      </c>
      <c r="D24" s="15" t="s">
        <v>104</v>
      </c>
      <c r="E24" s="16">
        <v>44423.0</v>
      </c>
      <c r="F24" s="15" t="s">
        <v>65</v>
      </c>
      <c r="G24" s="15">
        <v>2153.0</v>
      </c>
      <c r="H24" s="15">
        <v>148.0</v>
      </c>
      <c r="I24" s="15">
        <v>4.0</v>
      </c>
      <c r="J24" s="15">
        <v>1.0</v>
      </c>
      <c r="K24" s="17">
        <v>2.7027027027027026</v>
      </c>
      <c r="L24" s="15">
        <v>120.0</v>
      </c>
      <c r="M24" s="15">
        <v>235.0</v>
      </c>
      <c r="N24" s="15">
        <v>100.0</v>
      </c>
      <c r="O24" s="15">
        <v>382.0</v>
      </c>
      <c r="P24" s="17">
        <v>282.0</v>
      </c>
      <c r="Q24" s="15">
        <v>35.0</v>
      </c>
      <c r="R24" s="15">
        <v>12.025</v>
      </c>
      <c r="S24" s="19">
        <v>0.11456745426829378</v>
      </c>
      <c r="T24" s="15">
        <v>104.959999999999</v>
      </c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ht="22.5" customHeight="1">
      <c r="A25" s="24" t="s">
        <v>27</v>
      </c>
      <c r="B25" s="15" t="s">
        <v>105</v>
      </c>
      <c r="C25" s="15" t="s">
        <v>105</v>
      </c>
      <c r="D25" s="15" t="s">
        <v>92</v>
      </c>
      <c r="E25" s="16">
        <v>44172.0</v>
      </c>
      <c r="F25" s="15" t="s">
        <v>65</v>
      </c>
      <c r="G25" s="15">
        <v>1901.0</v>
      </c>
      <c r="H25" s="15">
        <v>316.0</v>
      </c>
      <c r="I25" s="15">
        <v>14.0</v>
      </c>
      <c r="J25" s="15">
        <v>5.0</v>
      </c>
      <c r="K25" s="17">
        <v>4.430379746835443</v>
      </c>
      <c r="L25" s="15">
        <v>120.0</v>
      </c>
      <c r="M25" s="15">
        <v>248.0</v>
      </c>
      <c r="N25" s="15">
        <v>91.0</v>
      </c>
      <c r="O25" s="15">
        <v>388.0</v>
      </c>
      <c r="P25" s="17">
        <v>297.0</v>
      </c>
      <c r="Q25" s="15">
        <v>36.0</v>
      </c>
      <c r="R25" s="15">
        <v>20.385</v>
      </c>
      <c r="S25" s="19">
        <v>0.1988702879887614</v>
      </c>
      <c r="T25" s="15">
        <v>102.504</v>
      </c>
      <c r="U25" s="21"/>
      <c r="V25" s="28" t="s">
        <v>1</v>
      </c>
      <c r="W25" s="28" t="s">
        <v>44</v>
      </c>
      <c r="X25" s="28" t="s">
        <v>59</v>
      </c>
      <c r="Y25" s="28" t="s">
        <v>60</v>
      </c>
      <c r="Z25" s="28" t="s">
        <v>61</v>
      </c>
      <c r="AA25" s="28" t="s">
        <v>62</v>
      </c>
      <c r="AB25" s="28" t="s">
        <v>49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ht="22.5" customHeight="1">
      <c r="A26" s="24" t="s">
        <v>27</v>
      </c>
      <c r="B26" s="15" t="s">
        <v>105</v>
      </c>
      <c r="C26" s="15" t="s">
        <v>105</v>
      </c>
      <c r="D26" s="15" t="s">
        <v>106</v>
      </c>
      <c r="E26" s="16">
        <v>44172.0</v>
      </c>
      <c r="F26" s="15" t="s">
        <v>65</v>
      </c>
      <c r="G26" s="15">
        <v>1901.0</v>
      </c>
      <c r="H26" s="15">
        <v>316.0</v>
      </c>
      <c r="I26" s="15">
        <v>14.0</v>
      </c>
      <c r="J26" s="15">
        <v>5.0</v>
      </c>
      <c r="K26" s="17">
        <v>4.430379746835443</v>
      </c>
      <c r="L26" s="15">
        <v>120.0</v>
      </c>
      <c r="M26" s="15">
        <v>245.0</v>
      </c>
      <c r="N26" s="15">
        <v>99.0</v>
      </c>
      <c r="O26" s="15">
        <v>400.0</v>
      </c>
      <c r="P26" s="17">
        <v>301.0</v>
      </c>
      <c r="Q26" s="15">
        <v>34.0</v>
      </c>
      <c r="R26" s="15">
        <v>21.985</v>
      </c>
      <c r="S26" s="19">
        <v>0.21371218601757525</v>
      </c>
      <c r="T26" s="15">
        <v>102.872</v>
      </c>
      <c r="U26" s="21"/>
      <c r="V26" s="5" t="s">
        <v>31</v>
      </c>
      <c r="W26" s="29" t="s">
        <v>65</v>
      </c>
      <c r="X26" s="30">
        <v>190.2</v>
      </c>
      <c r="Y26" s="30">
        <v>288.8</v>
      </c>
      <c r="Z26" s="31">
        <v>37.8</v>
      </c>
      <c r="AA26" s="32">
        <v>0.295844957058993</v>
      </c>
      <c r="AB26" s="31">
        <v>5.044706968263409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ht="22.5" customHeight="1">
      <c r="A27" s="27" t="s">
        <v>29</v>
      </c>
      <c r="B27" s="15" t="s">
        <v>107</v>
      </c>
      <c r="C27" s="15" t="s">
        <v>107</v>
      </c>
      <c r="D27" s="15" t="s">
        <v>108</v>
      </c>
      <c r="E27" s="16">
        <v>43900.0</v>
      </c>
      <c r="F27" s="15" t="s">
        <v>65</v>
      </c>
      <c r="G27" s="15">
        <v>12.0</v>
      </c>
      <c r="H27" s="15">
        <v>1651.0</v>
      </c>
      <c r="I27" s="15">
        <v>153.0</v>
      </c>
      <c r="J27" s="15">
        <v>78.0</v>
      </c>
      <c r="K27" s="17">
        <v>9.267110841913992</v>
      </c>
      <c r="L27" s="15">
        <v>120.0</v>
      </c>
      <c r="M27" s="15">
        <v>194.0</v>
      </c>
      <c r="N27" s="15">
        <v>100.0</v>
      </c>
      <c r="O27" s="15">
        <v>356.0</v>
      </c>
      <c r="P27" s="17">
        <v>256.0</v>
      </c>
      <c r="Q27" s="15">
        <v>34.0</v>
      </c>
      <c r="R27" s="15">
        <v>12.09</v>
      </c>
      <c r="S27" s="19">
        <v>0.12935461782076535</v>
      </c>
      <c r="T27" s="15">
        <v>93.4639999999999</v>
      </c>
      <c r="U27" s="21"/>
      <c r="V27" s="33" t="s">
        <v>31</v>
      </c>
      <c r="W27" s="34" t="s">
        <v>85</v>
      </c>
      <c r="X27" s="35">
        <v>195.0</v>
      </c>
      <c r="Y27" s="36">
        <v>353.4</v>
      </c>
      <c r="Z27" s="36">
        <v>44.4</v>
      </c>
      <c r="AA27" s="37">
        <v>0.09774081118703866</v>
      </c>
      <c r="AB27" s="36">
        <v>10.537619211681365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ht="22.5" customHeight="1">
      <c r="A28" s="27" t="s">
        <v>29</v>
      </c>
      <c r="B28" s="15" t="s">
        <v>109</v>
      </c>
      <c r="C28" s="15" t="s">
        <v>109</v>
      </c>
      <c r="D28" s="15" t="s">
        <v>110</v>
      </c>
      <c r="E28" s="16">
        <v>44048.0</v>
      </c>
      <c r="F28" s="15" t="s">
        <v>65</v>
      </c>
      <c r="G28" s="15">
        <v>160.0</v>
      </c>
      <c r="H28" s="15">
        <v>29089.0</v>
      </c>
      <c r="I28" s="15">
        <v>1231.0</v>
      </c>
      <c r="J28" s="15">
        <v>194.0</v>
      </c>
      <c r="K28" s="17">
        <v>4.231840214514078</v>
      </c>
      <c r="L28" s="15">
        <v>120.0</v>
      </c>
      <c r="M28" s="15">
        <v>216.0</v>
      </c>
      <c r="N28" s="15">
        <v>123.0</v>
      </c>
      <c r="O28" s="15">
        <v>404.0</v>
      </c>
      <c r="P28" s="17">
        <v>281.0</v>
      </c>
      <c r="Q28" s="15">
        <v>35.0</v>
      </c>
      <c r="R28" s="15">
        <v>6.785</v>
      </c>
      <c r="S28" s="19">
        <v>0.059263852980225004</v>
      </c>
      <c r="T28" s="15">
        <v>114.488</v>
      </c>
      <c r="U28" s="21"/>
      <c r="V28" s="33" t="s">
        <v>24</v>
      </c>
      <c r="W28" s="34" t="s">
        <v>65</v>
      </c>
      <c r="X28" s="35">
        <v>250.2</v>
      </c>
      <c r="Y28" s="35">
        <v>275.8</v>
      </c>
      <c r="Z28" s="36">
        <v>38.8</v>
      </c>
      <c r="AA28" s="37">
        <v>0.29462341287776844</v>
      </c>
      <c r="AB28" s="36">
        <v>4.716484302915005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ht="22.5" customHeight="1">
      <c r="A29" s="27" t="s">
        <v>29</v>
      </c>
      <c r="B29" s="15" t="s">
        <v>109</v>
      </c>
      <c r="C29" s="15" t="s">
        <v>109</v>
      </c>
      <c r="D29" s="15" t="s">
        <v>111</v>
      </c>
      <c r="E29" s="16">
        <v>44048.0</v>
      </c>
      <c r="F29" s="15" t="s">
        <v>65</v>
      </c>
      <c r="G29" s="15">
        <v>160.0</v>
      </c>
      <c r="H29" s="15">
        <v>29089.0</v>
      </c>
      <c r="I29" s="15">
        <v>1231.0</v>
      </c>
      <c r="J29" s="15">
        <v>194.0</v>
      </c>
      <c r="K29" s="17">
        <v>4.231840214514078</v>
      </c>
      <c r="L29" s="15">
        <v>120.0</v>
      </c>
      <c r="M29" s="15">
        <v>207.0</v>
      </c>
      <c r="N29" s="15">
        <v>114.0</v>
      </c>
      <c r="O29" s="15">
        <v>378.0</v>
      </c>
      <c r="P29" s="17">
        <v>264.0</v>
      </c>
      <c r="Q29" s="15">
        <v>33.0</v>
      </c>
      <c r="R29" s="15">
        <v>7.575</v>
      </c>
      <c r="S29" s="19">
        <v>0.06539191988950276</v>
      </c>
      <c r="T29" s="15">
        <v>115.84</v>
      </c>
      <c r="U29" s="21"/>
      <c r="V29" s="5" t="s">
        <v>24</v>
      </c>
      <c r="W29" s="29" t="s">
        <v>85</v>
      </c>
      <c r="X29" s="30">
        <v>225.0</v>
      </c>
      <c r="Y29" s="31">
        <v>331.4</v>
      </c>
      <c r="Z29" s="31">
        <v>39.6</v>
      </c>
      <c r="AA29" s="32">
        <v>0.14358548013854391</v>
      </c>
      <c r="AB29" s="31">
        <v>7.369104068737134</v>
      </c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ht="22.5" customHeight="1">
      <c r="A30" s="27" t="s">
        <v>29</v>
      </c>
      <c r="B30" s="15" t="s">
        <v>112</v>
      </c>
      <c r="C30" s="15" t="s">
        <v>112</v>
      </c>
      <c r="D30" s="15" t="s">
        <v>113</v>
      </c>
      <c r="E30" s="16">
        <v>43995.0</v>
      </c>
      <c r="F30" s="15" t="s">
        <v>65</v>
      </c>
      <c r="G30" s="15">
        <v>107.0</v>
      </c>
      <c r="H30" s="15">
        <v>2111.0</v>
      </c>
      <c r="I30" s="15">
        <v>171.0</v>
      </c>
      <c r="J30" s="15">
        <v>65.0</v>
      </c>
      <c r="K30" s="17">
        <v>8.100426338228328</v>
      </c>
      <c r="L30" s="15">
        <v>120.0</v>
      </c>
      <c r="M30" s="15">
        <v>201.0</v>
      </c>
      <c r="N30" s="15">
        <v>111.0</v>
      </c>
      <c r="O30" s="15">
        <v>379.0</v>
      </c>
      <c r="P30" s="17">
        <v>268.0</v>
      </c>
      <c r="Q30" s="15">
        <v>41.0</v>
      </c>
      <c r="R30" s="15">
        <v>11.115</v>
      </c>
      <c r="S30" s="19">
        <v>0.1110522739988821</v>
      </c>
      <c r="T30" s="15">
        <v>100.087999999999</v>
      </c>
      <c r="U30" s="21"/>
      <c r="V30" s="33" t="s">
        <v>27</v>
      </c>
      <c r="W30" s="34" t="s">
        <v>65</v>
      </c>
      <c r="X30" s="35">
        <v>236.6</v>
      </c>
      <c r="Y30" s="35">
        <v>308.8</v>
      </c>
      <c r="Z30" s="36">
        <v>40.0</v>
      </c>
      <c r="AA30" s="37">
        <v>0.20038293583064598</v>
      </c>
      <c r="AB30" s="36">
        <v>3.6030150199198787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ht="22.5" customHeight="1">
      <c r="A31" s="27" t="s">
        <v>29</v>
      </c>
      <c r="B31" s="15" t="s">
        <v>114</v>
      </c>
      <c r="C31" s="15" t="s">
        <v>114</v>
      </c>
      <c r="D31" s="15" t="s">
        <v>115</v>
      </c>
      <c r="E31" s="16">
        <v>44156.0</v>
      </c>
      <c r="F31" s="15" t="s">
        <v>65</v>
      </c>
      <c r="G31" s="15">
        <v>268.0</v>
      </c>
      <c r="H31" s="15">
        <v>53005.0</v>
      </c>
      <c r="I31" s="15">
        <v>2423.0</v>
      </c>
      <c r="J31" s="15">
        <v>95.0</v>
      </c>
      <c r="K31" s="17">
        <v>4.571266861616829</v>
      </c>
      <c r="L31" s="15">
        <v>120.0</v>
      </c>
      <c r="M31" s="15">
        <v>206.0</v>
      </c>
      <c r="N31" s="15">
        <v>92.0</v>
      </c>
      <c r="O31" s="15">
        <v>446.0</v>
      </c>
      <c r="P31" s="17">
        <v>354.0</v>
      </c>
      <c r="Q31" s="15">
        <v>40.0</v>
      </c>
      <c r="R31" s="15">
        <v>8.005</v>
      </c>
      <c r="S31" s="19">
        <v>0.07134581105169405</v>
      </c>
      <c r="T31" s="15">
        <v>112.199999999999</v>
      </c>
      <c r="U31" s="21"/>
      <c r="V31" s="5" t="s">
        <v>27</v>
      </c>
      <c r="W31" s="29" t="s">
        <v>85</v>
      </c>
      <c r="X31" s="30">
        <v>231.2</v>
      </c>
      <c r="Y31" s="31">
        <v>351.8</v>
      </c>
      <c r="Z31" s="31">
        <v>44.6</v>
      </c>
      <c r="AA31" s="32">
        <v>0.1118857536314735</v>
      </c>
      <c r="AB31" s="31">
        <v>5.1349342481417946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ht="22.5" customHeight="1">
      <c r="A32" s="24" t="s">
        <v>31</v>
      </c>
      <c r="B32" s="15" t="s">
        <v>116</v>
      </c>
      <c r="C32" s="15" t="s">
        <v>116</v>
      </c>
      <c r="D32" s="15" t="s">
        <v>92</v>
      </c>
      <c r="E32" s="16">
        <v>42040.0</v>
      </c>
      <c r="F32" s="15" t="s">
        <v>65</v>
      </c>
      <c r="G32" s="15">
        <v>3089.0</v>
      </c>
      <c r="H32" s="15">
        <v>875.0</v>
      </c>
      <c r="I32" s="15">
        <v>53.0</v>
      </c>
      <c r="J32" s="15">
        <v>14.0</v>
      </c>
      <c r="K32" s="17">
        <v>6.057142857142858</v>
      </c>
      <c r="L32" s="15">
        <v>120.0</v>
      </c>
      <c r="M32" s="15">
        <v>188.0</v>
      </c>
      <c r="N32" s="15">
        <v>112.0</v>
      </c>
      <c r="O32" s="15">
        <v>478.0</v>
      </c>
      <c r="P32" s="17">
        <v>366.0</v>
      </c>
      <c r="Q32" s="15">
        <v>39.0</v>
      </c>
      <c r="R32" s="15">
        <v>31.935</v>
      </c>
      <c r="S32" s="19">
        <v>0.3510883905013193</v>
      </c>
      <c r="T32" s="15">
        <v>90.96</v>
      </c>
      <c r="V32" s="5" t="s">
        <v>33</v>
      </c>
      <c r="W32" s="29" t="s">
        <v>65</v>
      </c>
      <c r="X32" s="30">
        <v>211.2</v>
      </c>
      <c r="Y32" s="30">
        <v>301.2</v>
      </c>
      <c r="Z32" s="31">
        <v>35.6</v>
      </c>
      <c r="AA32" s="32">
        <v>0.06439311984148585</v>
      </c>
      <c r="AB32" s="31">
        <v>3.9903990999550976</v>
      </c>
    </row>
    <row r="33" ht="22.5" customHeight="1">
      <c r="A33" s="24" t="s">
        <v>31</v>
      </c>
      <c r="B33" s="15" t="s">
        <v>117</v>
      </c>
      <c r="C33" s="15" t="s">
        <v>117</v>
      </c>
      <c r="D33" s="15" t="s">
        <v>118</v>
      </c>
      <c r="E33" s="16">
        <v>42032.0</v>
      </c>
      <c r="F33" s="15" t="s">
        <v>65</v>
      </c>
      <c r="G33" s="15">
        <v>3081.0</v>
      </c>
      <c r="H33" s="15">
        <v>1433.0</v>
      </c>
      <c r="I33" s="15">
        <v>57.0</v>
      </c>
      <c r="J33" s="15">
        <v>3.0</v>
      </c>
      <c r="K33" s="17">
        <v>3.9776692254012564</v>
      </c>
      <c r="L33" s="15">
        <v>120.0</v>
      </c>
      <c r="M33" s="15">
        <v>191.0</v>
      </c>
      <c r="N33" s="15">
        <v>126.0</v>
      </c>
      <c r="O33" s="15">
        <v>441.0</v>
      </c>
      <c r="P33" s="17">
        <v>315.0</v>
      </c>
      <c r="Q33" s="15">
        <v>41.0</v>
      </c>
      <c r="R33" s="15">
        <v>22.94</v>
      </c>
      <c r="S33" s="19">
        <v>0.25295518701482034</v>
      </c>
      <c r="T33" s="15">
        <v>90.6879999999999</v>
      </c>
      <c r="V33" s="33" t="s">
        <v>33</v>
      </c>
      <c r="W33" s="34" t="s">
        <v>85</v>
      </c>
      <c r="X33" s="35">
        <v>214.4</v>
      </c>
      <c r="Y33" s="36">
        <v>329.8</v>
      </c>
      <c r="Z33" s="36">
        <v>41.2</v>
      </c>
      <c r="AA33" s="37">
        <v>0.03864303980520446</v>
      </c>
      <c r="AB33" s="36">
        <v>7.058006013450371</v>
      </c>
    </row>
    <row r="34" ht="22.5" customHeight="1">
      <c r="A34" s="24" t="s">
        <v>31</v>
      </c>
      <c r="B34" s="15" t="s">
        <v>119</v>
      </c>
      <c r="C34" s="15" t="s">
        <v>119</v>
      </c>
      <c r="D34" s="15" t="s">
        <v>120</v>
      </c>
      <c r="E34" s="16">
        <v>42051.0</v>
      </c>
      <c r="F34" s="15" t="s">
        <v>65</v>
      </c>
      <c r="G34" s="15">
        <v>3100.0</v>
      </c>
      <c r="H34" s="15">
        <v>704.0</v>
      </c>
      <c r="I34" s="15">
        <v>37.0</v>
      </c>
      <c r="J34" s="15">
        <v>5.0</v>
      </c>
      <c r="K34" s="17">
        <v>5.255681818181818</v>
      </c>
      <c r="L34" s="15">
        <v>120.0</v>
      </c>
      <c r="M34" s="15">
        <v>192.0</v>
      </c>
      <c r="N34" s="15">
        <v>89.0</v>
      </c>
      <c r="O34" s="15">
        <v>381.0</v>
      </c>
      <c r="P34" s="17">
        <v>292.0</v>
      </c>
      <c r="Q34" s="15">
        <v>40.0</v>
      </c>
      <c r="R34" s="15">
        <v>30.295</v>
      </c>
      <c r="S34" s="19">
        <v>0.3617918219164995</v>
      </c>
      <c r="T34" s="15">
        <v>83.736</v>
      </c>
      <c r="V34" s="33" t="s">
        <v>20</v>
      </c>
      <c r="W34" s="34" t="s">
        <v>65</v>
      </c>
      <c r="X34" s="35">
        <v>205.8</v>
      </c>
      <c r="Y34" s="35">
        <v>325.2</v>
      </c>
      <c r="Z34" s="36">
        <v>36.4</v>
      </c>
      <c r="AA34" s="37">
        <v>0.14836037131696062</v>
      </c>
      <c r="AB34" s="36">
        <v>3.0935071544231194</v>
      </c>
    </row>
    <row r="35" ht="22.5" customHeight="1">
      <c r="A35" s="24" t="s">
        <v>31</v>
      </c>
      <c r="B35" s="15" t="s">
        <v>121</v>
      </c>
      <c r="C35" s="15" t="s">
        <v>121</v>
      </c>
      <c r="D35" s="15" t="s">
        <v>79</v>
      </c>
      <c r="E35" s="16">
        <v>42038.0</v>
      </c>
      <c r="F35" s="15" t="s">
        <v>65</v>
      </c>
      <c r="G35" s="15">
        <v>3087.0</v>
      </c>
      <c r="H35" s="15">
        <v>1766.0</v>
      </c>
      <c r="I35" s="15">
        <v>79.0</v>
      </c>
      <c r="J35" s="15">
        <v>8.0</v>
      </c>
      <c r="K35" s="17">
        <v>4.4733861834654585</v>
      </c>
      <c r="L35" s="15">
        <v>120.0</v>
      </c>
      <c r="M35" s="15">
        <v>186.0</v>
      </c>
      <c r="N35" s="15">
        <v>129.0</v>
      </c>
      <c r="O35" s="15">
        <v>339.0</v>
      </c>
      <c r="P35" s="17">
        <v>210.0</v>
      </c>
      <c r="Q35" s="15">
        <v>32.0</v>
      </c>
      <c r="R35" s="15">
        <v>30.12</v>
      </c>
      <c r="S35" s="19">
        <v>0.31641314396167747</v>
      </c>
      <c r="T35" s="15">
        <v>95.192</v>
      </c>
      <c r="V35" s="5" t="s">
        <v>20</v>
      </c>
      <c r="W35" s="29" t="s">
        <v>85</v>
      </c>
      <c r="X35" s="30">
        <v>205.4</v>
      </c>
      <c r="Y35" s="31">
        <v>284.2</v>
      </c>
      <c r="Z35" s="31">
        <v>39.0</v>
      </c>
      <c r="AA35" s="32">
        <v>0.08323663831263874</v>
      </c>
      <c r="AB35" s="31">
        <v>6.546852949109981</v>
      </c>
    </row>
    <row r="36" ht="22.5" customHeight="1">
      <c r="A36" s="24" t="s">
        <v>31</v>
      </c>
      <c r="B36" s="15" t="s">
        <v>122</v>
      </c>
      <c r="C36" s="15" t="s">
        <v>122</v>
      </c>
      <c r="D36" s="15" t="s">
        <v>123</v>
      </c>
      <c r="E36" s="16">
        <v>42032.0</v>
      </c>
      <c r="F36" s="15" t="s">
        <v>65</v>
      </c>
      <c r="G36" s="15">
        <v>3080.0</v>
      </c>
      <c r="H36" s="15">
        <v>2491.0</v>
      </c>
      <c r="I36" s="15">
        <v>136.0</v>
      </c>
      <c r="J36" s="15">
        <v>12.0</v>
      </c>
      <c r="K36" s="17">
        <v>5.459654757125652</v>
      </c>
      <c r="L36" s="15">
        <v>120.0</v>
      </c>
      <c r="M36" s="15">
        <v>194.0</v>
      </c>
      <c r="N36" s="15">
        <v>110.0</v>
      </c>
      <c r="O36" s="15">
        <v>371.0</v>
      </c>
      <c r="P36" s="17">
        <v>261.0</v>
      </c>
      <c r="Q36" s="15">
        <v>37.0</v>
      </c>
      <c r="R36" s="15">
        <v>18.24</v>
      </c>
      <c r="S36" s="19">
        <v>0.19697624190064816</v>
      </c>
      <c r="T36" s="15">
        <v>92.5999999999999</v>
      </c>
      <c r="V36" s="33" t="s">
        <v>22</v>
      </c>
      <c r="W36" s="34" t="s">
        <v>65</v>
      </c>
      <c r="X36" s="35">
        <v>226.6</v>
      </c>
      <c r="Y36" s="35">
        <v>246.0</v>
      </c>
      <c r="Z36" s="36">
        <v>39.2</v>
      </c>
      <c r="AA36" s="37">
        <v>0.08447011293653664</v>
      </c>
      <c r="AB36" s="36">
        <v>3.9655369121705433</v>
      </c>
    </row>
    <row r="37" ht="22.5" customHeight="1">
      <c r="A37" s="27" t="s">
        <v>33</v>
      </c>
      <c r="B37" s="15" t="s">
        <v>124</v>
      </c>
      <c r="C37" s="15" t="s">
        <v>124</v>
      </c>
      <c r="D37" s="15" t="s">
        <v>125</v>
      </c>
      <c r="E37" s="38">
        <v>42124.0</v>
      </c>
      <c r="F37" s="15" t="s">
        <v>65</v>
      </c>
      <c r="G37" s="15">
        <v>64.0</v>
      </c>
      <c r="H37" s="15">
        <v>2144.0</v>
      </c>
      <c r="I37" s="15">
        <v>91.0</v>
      </c>
      <c r="J37" s="15">
        <v>8.0</v>
      </c>
      <c r="K37" s="17">
        <v>4.244402985074626</v>
      </c>
      <c r="L37" s="15">
        <v>120.0</v>
      </c>
      <c r="M37" s="15">
        <v>219.0</v>
      </c>
      <c r="N37" s="15">
        <v>90.0</v>
      </c>
      <c r="O37" s="15">
        <v>417.0</v>
      </c>
      <c r="P37" s="17">
        <v>327.0</v>
      </c>
      <c r="Q37" s="15">
        <v>41.0</v>
      </c>
      <c r="R37" s="15">
        <v>6.225</v>
      </c>
      <c r="S37" s="19">
        <v>0.0532342477936649</v>
      </c>
      <c r="T37" s="15">
        <v>116.936</v>
      </c>
      <c r="V37" s="5" t="s">
        <v>22</v>
      </c>
      <c r="W37" s="29" t="s">
        <v>85</v>
      </c>
      <c r="X37" s="30">
        <v>209.0</v>
      </c>
      <c r="Y37" s="31">
        <v>310.2</v>
      </c>
      <c r="Z37" s="31">
        <v>36.4</v>
      </c>
      <c r="AA37" s="32">
        <v>0.05188927745863423</v>
      </c>
      <c r="AB37" s="31">
        <v>4.341522338340253</v>
      </c>
    </row>
    <row r="38" ht="22.5" customHeight="1">
      <c r="A38" s="27" t="s">
        <v>33</v>
      </c>
      <c r="B38" s="15" t="s">
        <v>126</v>
      </c>
      <c r="C38" s="15" t="s">
        <v>126</v>
      </c>
      <c r="D38" s="15" t="s">
        <v>127</v>
      </c>
      <c r="E38" s="38">
        <v>42063.0</v>
      </c>
      <c r="F38" s="15" t="s">
        <v>65</v>
      </c>
      <c r="G38" s="15">
        <v>3.0</v>
      </c>
      <c r="H38" s="15">
        <v>6919.0</v>
      </c>
      <c r="I38" s="15">
        <v>302.0</v>
      </c>
      <c r="J38" s="15">
        <v>27.0</v>
      </c>
      <c r="K38" s="17">
        <v>4.364792600086718</v>
      </c>
      <c r="L38" s="15">
        <v>120.0</v>
      </c>
      <c r="M38" s="15">
        <v>206.0</v>
      </c>
      <c r="N38" s="15">
        <v>99.0</v>
      </c>
      <c r="O38" s="15">
        <v>383.0</v>
      </c>
      <c r="P38" s="17">
        <v>284.0</v>
      </c>
      <c r="Q38" s="15">
        <v>31.0</v>
      </c>
      <c r="R38" s="15">
        <v>7.045</v>
      </c>
      <c r="S38" s="19">
        <v>0.06575754181600955</v>
      </c>
      <c r="T38" s="15">
        <v>107.136</v>
      </c>
      <c r="V38" s="5" t="s">
        <v>35</v>
      </c>
      <c r="W38" s="29" t="s">
        <v>65</v>
      </c>
      <c r="X38" s="30">
        <v>230.2</v>
      </c>
      <c r="Y38" s="30">
        <v>309.2</v>
      </c>
      <c r="Z38" s="31">
        <v>45.2</v>
      </c>
      <c r="AA38" s="32">
        <v>0.14293135969863885</v>
      </c>
      <c r="AB38" s="31">
        <v>2.665068874276089</v>
      </c>
    </row>
    <row r="39" ht="22.5" customHeight="1">
      <c r="A39" s="27" t="s">
        <v>33</v>
      </c>
      <c r="B39" s="15" t="s">
        <v>128</v>
      </c>
      <c r="C39" s="15" t="s">
        <v>128</v>
      </c>
      <c r="D39" s="15" t="s">
        <v>129</v>
      </c>
      <c r="E39" s="38">
        <v>42063.0</v>
      </c>
      <c r="F39" s="15" t="s">
        <v>65</v>
      </c>
      <c r="G39" s="15">
        <v>3.0</v>
      </c>
      <c r="H39" s="15">
        <v>3454.0</v>
      </c>
      <c r="I39" s="15">
        <v>124.0</v>
      </c>
      <c r="J39" s="15">
        <v>6.0</v>
      </c>
      <c r="K39" s="17">
        <v>3.590040532715692</v>
      </c>
      <c r="L39" s="15">
        <v>120.0</v>
      </c>
      <c r="M39" s="15">
        <v>212.0</v>
      </c>
      <c r="N39" s="15">
        <v>90.0</v>
      </c>
      <c r="O39" s="15">
        <v>404.0</v>
      </c>
      <c r="P39" s="17">
        <v>314.0</v>
      </c>
      <c r="Q39" s="15">
        <v>33.0</v>
      </c>
      <c r="R39" s="15">
        <v>6.235</v>
      </c>
      <c r="S39" s="19">
        <v>0.056110511159107784</v>
      </c>
      <c r="T39" s="15">
        <v>111.119999999999</v>
      </c>
      <c r="V39" s="33" t="s">
        <v>35</v>
      </c>
      <c r="W39" s="34" t="s">
        <v>85</v>
      </c>
      <c r="X39" s="35">
        <v>216.4</v>
      </c>
      <c r="Y39" s="36">
        <v>292.2</v>
      </c>
      <c r="Z39" s="36">
        <v>40.0</v>
      </c>
      <c r="AA39" s="37">
        <v>0.12430862545149371</v>
      </c>
      <c r="AB39" s="36">
        <v>9.231958486967102</v>
      </c>
    </row>
    <row r="40" ht="22.5" customHeight="1">
      <c r="A40" s="27" t="s">
        <v>33</v>
      </c>
      <c r="B40" s="15" t="s">
        <v>130</v>
      </c>
      <c r="C40" s="15" t="s">
        <v>130</v>
      </c>
      <c r="D40" s="15" t="s">
        <v>131</v>
      </c>
      <c r="E40" s="38">
        <v>42090.0</v>
      </c>
      <c r="F40" s="15" t="s">
        <v>65</v>
      </c>
      <c r="G40" s="15">
        <v>30.0</v>
      </c>
      <c r="H40" s="15">
        <v>2075.0</v>
      </c>
      <c r="I40" s="15">
        <v>83.0</v>
      </c>
      <c r="J40" s="15">
        <v>7.0</v>
      </c>
      <c r="K40" s="17">
        <v>4.0</v>
      </c>
      <c r="L40" s="15">
        <v>120.0</v>
      </c>
      <c r="M40" s="15">
        <v>205.0</v>
      </c>
      <c r="N40" s="15">
        <v>88.0</v>
      </c>
      <c r="O40" s="15">
        <v>406.0</v>
      </c>
      <c r="P40" s="17">
        <v>318.0</v>
      </c>
      <c r="Q40" s="15">
        <v>39.0</v>
      </c>
      <c r="R40" s="15">
        <v>9.73</v>
      </c>
      <c r="S40" s="19">
        <v>0.08853180957926919</v>
      </c>
      <c r="T40" s="15">
        <v>109.904</v>
      </c>
      <c r="V40" s="5" t="s">
        <v>37</v>
      </c>
      <c r="W40" s="29" t="s">
        <v>65</v>
      </c>
      <c r="X40" s="30">
        <v>192.0</v>
      </c>
      <c r="Y40" s="30">
        <v>269.6</v>
      </c>
      <c r="Z40" s="31">
        <v>29.8</v>
      </c>
      <c r="AA40" s="32">
        <v>0.10231885806169887</v>
      </c>
      <c r="AB40" s="31">
        <v>6.519386798964684</v>
      </c>
    </row>
    <row r="41" ht="22.5" customHeight="1">
      <c r="A41" s="27" t="s">
        <v>33</v>
      </c>
      <c r="B41" s="15" t="s">
        <v>132</v>
      </c>
      <c r="C41" s="15" t="s">
        <v>132</v>
      </c>
      <c r="D41" s="15" t="s">
        <v>101</v>
      </c>
      <c r="E41" s="16">
        <v>42064.0</v>
      </c>
      <c r="F41" s="15" t="s">
        <v>65</v>
      </c>
      <c r="G41" s="15">
        <v>4.0</v>
      </c>
      <c r="H41" s="15">
        <v>3624.0</v>
      </c>
      <c r="I41" s="15">
        <v>136.0</v>
      </c>
      <c r="J41" s="15">
        <v>13.0</v>
      </c>
      <c r="K41" s="17">
        <v>3.7527593818984544</v>
      </c>
      <c r="L41" s="15">
        <v>120.0</v>
      </c>
      <c r="M41" s="15">
        <v>214.0</v>
      </c>
      <c r="N41" s="15">
        <v>102.0</v>
      </c>
      <c r="O41" s="15">
        <v>365.0</v>
      </c>
      <c r="P41" s="17">
        <v>263.0</v>
      </c>
      <c r="Q41" s="15">
        <v>34.0</v>
      </c>
      <c r="R41" s="15">
        <v>6.325</v>
      </c>
      <c r="S41" s="19">
        <v>0.05833148885937785</v>
      </c>
      <c r="T41" s="15">
        <v>108.431999999999</v>
      </c>
      <c r="V41" s="33" t="s">
        <v>37</v>
      </c>
      <c r="W41" s="34" t="s">
        <v>85</v>
      </c>
      <c r="X41" s="35">
        <v>200.2</v>
      </c>
      <c r="Y41" s="36">
        <v>291.0</v>
      </c>
      <c r="Z41" s="36">
        <v>34.8</v>
      </c>
      <c r="AA41" s="37">
        <v>0.10720068443650685</v>
      </c>
      <c r="AB41" s="36">
        <v>7.183373805422802</v>
      </c>
    </row>
    <row r="42" ht="22.5" customHeight="1">
      <c r="A42" s="24" t="s">
        <v>35</v>
      </c>
      <c r="B42" s="15" t="s">
        <v>133</v>
      </c>
      <c r="C42" s="15" t="s">
        <v>133</v>
      </c>
      <c r="D42" s="15" t="s">
        <v>101</v>
      </c>
      <c r="E42" s="16">
        <v>40848.0</v>
      </c>
      <c r="F42" s="15" t="s">
        <v>65</v>
      </c>
      <c r="G42" s="15">
        <v>982.0</v>
      </c>
      <c r="H42" s="15">
        <v>14569.0</v>
      </c>
      <c r="I42" s="15">
        <v>253.0</v>
      </c>
      <c r="J42" s="15">
        <v>33.0</v>
      </c>
      <c r="K42" s="17">
        <v>1.7365639371267763</v>
      </c>
      <c r="L42" s="15">
        <v>120.0</v>
      </c>
      <c r="M42" s="15">
        <v>241.0</v>
      </c>
      <c r="N42" s="15">
        <v>163.0</v>
      </c>
      <c r="O42" s="15">
        <v>447.0</v>
      </c>
      <c r="P42" s="17">
        <v>284.0</v>
      </c>
      <c r="Q42" s="15">
        <v>48.0</v>
      </c>
      <c r="R42" s="15">
        <v>8.13</v>
      </c>
      <c r="S42" s="19">
        <v>0.1446001707455891</v>
      </c>
      <c r="T42" s="15">
        <v>56.224</v>
      </c>
      <c r="U42" s="21"/>
      <c r="V42" s="33" t="s">
        <v>12</v>
      </c>
      <c r="W42" s="34" t="s">
        <v>65</v>
      </c>
      <c r="X42" s="35">
        <v>217.8</v>
      </c>
      <c r="Y42" s="35">
        <v>299.8</v>
      </c>
      <c r="Z42" s="36">
        <v>32.2</v>
      </c>
      <c r="AA42" s="37">
        <v>0.07950486145086746</v>
      </c>
      <c r="AB42" s="36">
        <v>4.1080612960000575</v>
      </c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ht="22.5" customHeight="1">
      <c r="A43" s="24" t="s">
        <v>35</v>
      </c>
      <c r="B43" s="15" t="s">
        <v>134</v>
      </c>
      <c r="C43" s="15" t="s">
        <v>134</v>
      </c>
      <c r="D43" s="15" t="s">
        <v>135</v>
      </c>
      <c r="E43" s="16">
        <v>40850.0</v>
      </c>
      <c r="F43" s="15" t="s">
        <v>65</v>
      </c>
      <c r="G43" s="15">
        <v>984.0</v>
      </c>
      <c r="H43" s="15">
        <v>2836.0</v>
      </c>
      <c r="I43" s="15">
        <v>77.0</v>
      </c>
      <c r="J43" s="15">
        <v>2.0</v>
      </c>
      <c r="K43" s="17">
        <v>2.7150916784203103</v>
      </c>
      <c r="L43" s="15">
        <v>120.0</v>
      </c>
      <c r="M43" s="15">
        <v>221.0</v>
      </c>
      <c r="N43" s="15">
        <v>163.0</v>
      </c>
      <c r="O43" s="15">
        <v>410.0</v>
      </c>
      <c r="P43" s="17">
        <v>247.0</v>
      </c>
      <c r="Q43" s="15">
        <v>43.0</v>
      </c>
      <c r="R43" s="15">
        <v>7.535</v>
      </c>
      <c r="S43" s="19">
        <v>0.1397855446720095</v>
      </c>
      <c r="T43" s="15">
        <v>53.904</v>
      </c>
      <c r="U43" s="21"/>
      <c r="V43" s="5" t="s">
        <v>12</v>
      </c>
      <c r="W43" s="29" t="s">
        <v>85</v>
      </c>
      <c r="X43" s="30">
        <v>236.8</v>
      </c>
      <c r="Y43" s="31">
        <v>345.8</v>
      </c>
      <c r="Z43" s="31">
        <v>41.2</v>
      </c>
      <c r="AA43" s="32">
        <v>0.020101783269894917</v>
      </c>
      <c r="AB43" s="31">
        <v>6.3425992727979335</v>
      </c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ht="22.5" customHeight="1">
      <c r="A44" s="24" t="s">
        <v>35</v>
      </c>
      <c r="B44" s="15" t="s">
        <v>136</v>
      </c>
      <c r="C44" s="15" t="s">
        <v>136</v>
      </c>
      <c r="D44" s="15" t="s">
        <v>131</v>
      </c>
      <c r="E44" s="16">
        <v>40851.0</v>
      </c>
      <c r="F44" s="15" t="s">
        <v>65</v>
      </c>
      <c r="G44" s="15">
        <v>985.0</v>
      </c>
      <c r="H44" s="15">
        <v>2136.0</v>
      </c>
      <c r="I44" s="15">
        <v>68.0</v>
      </c>
      <c r="J44" s="15">
        <v>4.0</v>
      </c>
      <c r="K44" s="17">
        <v>3.1835205992509366</v>
      </c>
      <c r="L44" s="15">
        <v>120.0</v>
      </c>
      <c r="M44" s="15">
        <v>222.0</v>
      </c>
      <c r="N44" s="15">
        <v>100.0</v>
      </c>
      <c r="O44" s="15">
        <v>464.0</v>
      </c>
      <c r="P44" s="17">
        <v>364.0</v>
      </c>
      <c r="Q44" s="15">
        <v>45.0</v>
      </c>
      <c r="R44" s="15">
        <v>9.16</v>
      </c>
      <c r="S44" s="19">
        <v>0.12832007172475626</v>
      </c>
      <c r="T44" s="15">
        <v>71.384</v>
      </c>
      <c r="U44" s="21"/>
      <c r="V44" s="33" t="s">
        <v>29</v>
      </c>
      <c r="W44" s="34" t="s">
        <v>65</v>
      </c>
      <c r="X44" s="35">
        <v>204.8</v>
      </c>
      <c r="Y44" s="35">
        <v>284.6</v>
      </c>
      <c r="Z44" s="36">
        <v>36.6</v>
      </c>
      <c r="AA44" s="37">
        <v>0.08728169514821385</v>
      </c>
      <c r="AB44" s="36">
        <v>6.080496894157461</v>
      </c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ht="22.5" customHeight="1">
      <c r="A45" s="24" t="s">
        <v>35</v>
      </c>
      <c r="B45" s="15" t="s">
        <v>137</v>
      </c>
      <c r="C45" s="15" t="s">
        <v>137</v>
      </c>
      <c r="D45" s="15" t="s">
        <v>138</v>
      </c>
      <c r="E45" s="16">
        <v>40852.0</v>
      </c>
      <c r="F45" s="15" t="s">
        <v>65</v>
      </c>
      <c r="G45" s="15">
        <v>986.0</v>
      </c>
      <c r="H45" s="15">
        <v>2047.0</v>
      </c>
      <c r="I45" s="15">
        <v>68.0</v>
      </c>
      <c r="J45" s="15">
        <v>8.0</v>
      </c>
      <c r="K45" s="17">
        <v>3.321934538348803</v>
      </c>
      <c r="L45" s="15">
        <v>120.0</v>
      </c>
      <c r="M45" s="15">
        <v>243.0</v>
      </c>
      <c r="N45" s="15">
        <v>108.0</v>
      </c>
      <c r="O45" s="15">
        <v>485.0</v>
      </c>
      <c r="P45" s="17">
        <v>377.0</v>
      </c>
      <c r="Q45" s="15">
        <v>48.0</v>
      </c>
      <c r="R45" s="15">
        <v>8.895</v>
      </c>
      <c r="S45" s="19">
        <v>0.1247195737521032</v>
      </c>
      <c r="T45" s="15">
        <v>71.32</v>
      </c>
      <c r="U45" s="21"/>
      <c r="V45" s="5" t="s">
        <v>29</v>
      </c>
      <c r="W45" s="29" t="s">
        <v>85</v>
      </c>
      <c r="X45" s="30">
        <v>180.8</v>
      </c>
      <c r="Y45" s="31">
        <v>303.0</v>
      </c>
      <c r="Z45" s="31">
        <v>31.8</v>
      </c>
      <c r="AA45" s="32">
        <v>0.09130432841446531</v>
      </c>
      <c r="AB45" s="31">
        <v>9.387407185042715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ht="22.5" customHeight="1">
      <c r="A46" s="24" t="s">
        <v>35</v>
      </c>
      <c r="B46" s="15" t="s">
        <v>139</v>
      </c>
      <c r="C46" s="15" t="s">
        <v>139</v>
      </c>
      <c r="D46" s="15" t="s">
        <v>77</v>
      </c>
      <c r="E46" s="16">
        <v>40849.0</v>
      </c>
      <c r="F46" s="15" t="s">
        <v>65</v>
      </c>
      <c r="G46" s="15">
        <v>983.0</v>
      </c>
      <c r="H46" s="15">
        <v>5616.0</v>
      </c>
      <c r="I46" s="15">
        <v>133.0</v>
      </c>
      <c r="J46" s="15">
        <v>6.0</v>
      </c>
      <c r="K46" s="17">
        <v>2.368233618233618</v>
      </c>
      <c r="L46" s="15">
        <v>120.0</v>
      </c>
      <c r="M46" s="15">
        <v>224.0</v>
      </c>
      <c r="N46" s="15">
        <v>160.0</v>
      </c>
      <c r="O46" s="15">
        <v>434.0</v>
      </c>
      <c r="P46" s="17">
        <v>274.0</v>
      </c>
      <c r="Q46" s="15">
        <v>42.0</v>
      </c>
      <c r="R46" s="15">
        <v>10.77</v>
      </c>
      <c r="S46" s="19">
        <v>0.17723143759873616</v>
      </c>
      <c r="T46" s="15">
        <v>60.768</v>
      </c>
      <c r="U46" s="21"/>
      <c r="V46" s="39" t="s">
        <v>140</v>
      </c>
      <c r="W46" s="40" t="s">
        <v>65</v>
      </c>
      <c r="X46" s="41">
        <f t="shared" ref="X46:AB46" si="1">average(X26,X28,X30,X32,X34,X36,X38,X40,X42,X44)</f>
        <v>216.54</v>
      </c>
      <c r="Y46" s="41">
        <f t="shared" si="1"/>
        <v>290.9</v>
      </c>
      <c r="Z46" s="41">
        <f t="shared" si="1"/>
        <v>37.16</v>
      </c>
      <c r="AA46" s="42">
        <f t="shared" si="1"/>
        <v>0.1500111684</v>
      </c>
      <c r="AB46" s="41">
        <f t="shared" si="1"/>
        <v>4.378666332</v>
      </c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ht="22.5" customHeight="1">
      <c r="A47" s="27" t="s">
        <v>37</v>
      </c>
      <c r="B47" s="15" t="s">
        <v>141</v>
      </c>
      <c r="C47" s="15" t="s">
        <v>141</v>
      </c>
      <c r="D47" s="15" t="s">
        <v>142</v>
      </c>
      <c r="E47" s="16">
        <v>45224.0</v>
      </c>
      <c r="F47" s="15" t="s">
        <v>65</v>
      </c>
      <c r="G47" s="15">
        <v>4319.0</v>
      </c>
      <c r="H47" s="15">
        <v>423.0</v>
      </c>
      <c r="I47" s="15">
        <v>29.0</v>
      </c>
      <c r="J47" s="15">
        <v>12.0</v>
      </c>
      <c r="K47" s="17">
        <v>6.8557919621749415</v>
      </c>
      <c r="L47" s="15">
        <v>120.0</v>
      </c>
      <c r="M47" s="15">
        <v>192.0</v>
      </c>
      <c r="N47" s="15">
        <v>90.0</v>
      </c>
      <c r="O47" s="15">
        <v>360.0</v>
      </c>
      <c r="P47" s="17">
        <v>270.0</v>
      </c>
      <c r="Q47" s="15">
        <v>31.0</v>
      </c>
      <c r="R47" s="15">
        <v>10.275</v>
      </c>
      <c r="S47" s="19">
        <v>0.09063404135205702</v>
      </c>
      <c r="T47" s="15">
        <v>113.368</v>
      </c>
      <c r="U47" s="21"/>
      <c r="V47" s="39" t="s">
        <v>143</v>
      </c>
      <c r="W47" s="40" t="s">
        <v>65</v>
      </c>
      <c r="X47" s="41">
        <f t="shared" ref="X47:AB47" si="2">STDEV(X26,X28,X30,X32,X34,X36,X38,X40,X42,X44)</f>
        <v>19.44360506</v>
      </c>
      <c r="Y47" s="41">
        <f t="shared" si="2"/>
        <v>22.99492698</v>
      </c>
      <c r="Z47" s="41">
        <f t="shared" si="2"/>
        <v>4.243478657</v>
      </c>
      <c r="AA47" s="42">
        <f t="shared" si="2"/>
        <v>0.08665199987</v>
      </c>
      <c r="AB47" s="41">
        <f t="shared" si="2"/>
        <v>1.230220498</v>
      </c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ht="22.5" customHeight="1">
      <c r="A48" s="27" t="s">
        <v>37</v>
      </c>
      <c r="B48" s="15" t="s">
        <v>141</v>
      </c>
      <c r="C48" s="15" t="s">
        <v>141</v>
      </c>
      <c r="D48" s="15" t="s">
        <v>144</v>
      </c>
      <c r="E48" s="16">
        <v>45224.0</v>
      </c>
      <c r="F48" s="15" t="s">
        <v>65</v>
      </c>
      <c r="G48" s="15">
        <v>4319.0</v>
      </c>
      <c r="H48" s="15">
        <v>423.0</v>
      </c>
      <c r="I48" s="15">
        <v>29.0</v>
      </c>
      <c r="J48" s="15">
        <v>12.0</v>
      </c>
      <c r="K48" s="17">
        <v>6.8557919621749415</v>
      </c>
      <c r="L48" s="15">
        <v>120.0</v>
      </c>
      <c r="M48" s="15">
        <v>197.0</v>
      </c>
      <c r="N48" s="15">
        <v>92.0</v>
      </c>
      <c r="O48" s="15">
        <v>440.0</v>
      </c>
      <c r="P48" s="17">
        <v>348.0</v>
      </c>
      <c r="Q48" s="15">
        <v>33.0</v>
      </c>
      <c r="R48" s="15">
        <v>17.095</v>
      </c>
      <c r="S48" s="19">
        <v>0.15681184413297128</v>
      </c>
      <c r="T48" s="15">
        <v>109.016</v>
      </c>
      <c r="U48" s="21"/>
      <c r="V48" s="39" t="s">
        <v>140</v>
      </c>
      <c r="W48" s="40" t="s">
        <v>85</v>
      </c>
      <c r="X48" s="41">
        <f t="shared" ref="X48:AB48" si="3">average(X27,X29,X31,X33,X35,X37,X39,X41,X43,X45)</f>
        <v>211.42</v>
      </c>
      <c r="Y48" s="41">
        <f t="shared" si="3"/>
        <v>319.28</v>
      </c>
      <c r="Z48" s="41">
        <f t="shared" si="3"/>
        <v>39.3</v>
      </c>
      <c r="AA48" s="42">
        <f t="shared" si="3"/>
        <v>0.08698964221</v>
      </c>
      <c r="AB48" s="41">
        <f t="shared" si="3"/>
        <v>7.313337758</v>
      </c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</row>
    <row r="49" ht="22.5" customHeight="1">
      <c r="A49" s="27" t="s">
        <v>37</v>
      </c>
      <c r="B49" s="15" t="s">
        <v>145</v>
      </c>
      <c r="C49" s="15" t="s">
        <v>145</v>
      </c>
      <c r="D49" s="15" t="s">
        <v>64</v>
      </c>
      <c r="E49" s="16">
        <v>45271.0</v>
      </c>
      <c r="F49" s="15" t="s">
        <v>65</v>
      </c>
      <c r="G49" s="15">
        <v>4366.0</v>
      </c>
      <c r="H49" s="15">
        <v>281.0</v>
      </c>
      <c r="I49" s="15">
        <v>21.0</v>
      </c>
      <c r="J49" s="15">
        <v>14.0</v>
      </c>
      <c r="K49" s="17">
        <v>7.473309608540925</v>
      </c>
      <c r="L49" s="15">
        <v>120.0</v>
      </c>
      <c r="M49" s="15">
        <v>189.0</v>
      </c>
      <c r="N49" s="15">
        <v>89.0</v>
      </c>
      <c r="O49" s="15">
        <v>318.0</v>
      </c>
      <c r="P49" s="17">
        <v>229.0</v>
      </c>
      <c r="Q49" s="15">
        <v>32.0</v>
      </c>
      <c r="R49" s="15">
        <v>12.855</v>
      </c>
      <c r="S49" s="19">
        <v>0.11618763557483835</v>
      </c>
      <c r="T49" s="15">
        <v>110.639999999999</v>
      </c>
      <c r="U49" s="21"/>
      <c r="V49" s="39" t="s">
        <v>143</v>
      </c>
      <c r="W49" s="40" t="s">
        <v>85</v>
      </c>
      <c r="X49" s="41">
        <f t="shared" ref="X49:AB49" si="4">STDEV(X27,X29,X31,X33,X35,X37,X39,X41,X43,X45)</f>
        <v>17.09020512</v>
      </c>
      <c r="Y49" s="41">
        <f t="shared" si="4"/>
        <v>26.44444071</v>
      </c>
      <c r="Z49" s="41">
        <f t="shared" si="4"/>
        <v>4.040077007</v>
      </c>
      <c r="AA49" s="42">
        <f t="shared" si="4"/>
        <v>0.03918021384</v>
      </c>
      <c r="AB49" s="41">
        <f t="shared" si="4"/>
        <v>1.93135002</v>
      </c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>
      <c r="A50" s="27" t="s">
        <v>37</v>
      </c>
      <c r="B50" s="15" t="s">
        <v>145</v>
      </c>
      <c r="C50" s="15" t="s">
        <v>145</v>
      </c>
      <c r="D50" s="15" t="s">
        <v>146</v>
      </c>
      <c r="E50" s="16">
        <v>45271.0</v>
      </c>
      <c r="F50" s="15" t="s">
        <v>65</v>
      </c>
      <c r="G50" s="15">
        <v>4366.0</v>
      </c>
      <c r="H50" s="15">
        <v>281.0</v>
      </c>
      <c r="I50" s="15">
        <v>21.0</v>
      </c>
      <c r="J50" s="15">
        <v>14.0</v>
      </c>
      <c r="K50" s="17">
        <v>7.473309608540925</v>
      </c>
      <c r="L50" s="15">
        <v>120.0</v>
      </c>
      <c r="M50" s="15">
        <v>194.0</v>
      </c>
      <c r="N50" s="15">
        <v>89.0</v>
      </c>
      <c r="O50" s="15">
        <v>378.0</v>
      </c>
      <c r="P50" s="17">
        <v>289.0</v>
      </c>
      <c r="Q50" s="15">
        <v>28.0</v>
      </c>
      <c r="R50" s="15">
        <v>9.845</v>
      </c>
      <c r="S50" s="19">
        <v>0.08510546334716533</v>
      </c>
      <c r="T50" s="15">
        <v>115.679999999999</v>
      </c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>
      <c r="A51" s="27" t="s">
        <v>37</v>
      </c>
      <c r="B51" s="15" t="s">
        <v>147</v>
      </c>
      <c r="C51" s="15" t="s">
        <v>147</v>
      </c>
      <c r="D51" s="15" t="s">
        <v>148</v>
      </c>
      <c r="E51" s="16">
        <v>45242.0</v>
      </c>
      <c r="F51" s="15" t="s">
        <v>65</v>
      </c>
      <c r="G51" s="15">
        <v>4338.0</v>
      </c>
      <c r="H51" s="15">
        <v>457.0</v>
      </c>
      <c r="I51" s="15">
        <v>18.0</v>
      </c>
      <c r="J51" s="15">
        <v>9.0</v>
      </c>
      <c r="K51" s="17">
        <v>3.938730853391685</v>
      </c>
      <c r="L51" s="15">
        <v>120.0</v>
      </c>
      <c r="M51" s="15">
        <v>188.0</v>
      </c>
      <c r="N51" s="15">
        <v>103.0</v>
      </c>
      <c r="O51" s="15">
        <v>315.0</v>
      </c>
      <c r="P51" s="17">
        <v>212.0</v>
      </c>
      <c r="Q51" s="15">
        <v>25.0</v>
      </c>
      <c r="R51" s="15">
        <v>7.43</v>
      </c>
      <c r="S51" s="19">
        <v>0.06285530590146236</v>
      </c>
      <c r="T51" s="15">
        <v>118.207999999999</v>
      </c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>
      <c r="A52" s="15" t="s">
        <v>12</v>
      </c>
      <c r="B52" s="15" t="s">
        <v>149</v>
      </c>
      <c r="C52" s="15" t="s">
        <v>149</v>
      </c>
      <c r="D52" s="15" t="s">
        <v>150</v>
      </c>
      <c r="E52" s="16">
        <v>45980.0</v>
      </c>
      <c r="F52" s="15" t="s">
        <v>85</v>
      </c>
      <c r="G52" s="15">
        <v>4579.0</v>
      </c>
      <c r="H52" s="15">
        <v>106972.0</v>
      </c>
      <c r="I52" s="15">
        <v>5912.0</v>
      </c>
      <c r="J52" s="15">
        <v>134.0</v>
      </c>
      <c r="K52" s="17">
        <v>5.526679878846801</v>
      </c>
      <c r="L52" s="15">
        <v>120.0</v>
      </c>
      <c r="M52" s="15">
        <v>249.0</v>
      </c>
      <c r="N52" s="15">
        <v>100.0</v>
      </c>
      <c r="O52" s="15">
        <v>500.0</v>
      </c>
      <c r="P52" s="17">
        <v>400.0</v>
      </c>
      <c r="Q52" s="15">
        <v>50.0</v>
      </c>
      <c r="R52" s="18">
        <v>1.10000000000005</v>
      </c>
      <c r="S52" s="19">
        <v>0.009685144748891136</v>
      </c>
      <c r="T52" s="20">
        <v>113.575999999999</v>
      </c>
    </row>
    <row r="53">
      <c r="A53" s="15" t="s">
        <v>12</v>
      </c>
      <c r="B53" s="15" t="s">
        <v>151</v>
      </c>
      <c r="C53" s="15" t="s">
        <v>151</v>
      </c>
      <c r="D53" s="15" t="s">
        <v>123</v>
      </c>
      <c r="E53" s="16">
        <v>45997.0</v>
      </c>
      <c r="F53" s="15" t="s">
        <v>85</v>
      </c>
      <c r="G53" s="15">
        <v>4596.0</v>
      </c>
      <c r="H53" s="15">
        <v>36861.0</v>
      </c>
      <c r="I53" s="15">
        <v>2813.0</v>
      </c>
      <c r="J53" s="15">
        <v>129.0</v>
      </c>
      <c r="K53" s="17">
        <v>7.631371910691517</v>
      </c>
      <c r="L53" s="15">
        <v>120.0</v>
      </c>
      <c r="M53" s="15">
        <v>228.0</v>
      </c>
      <c r="N53" s="15">
        <v>91.0</v>
      </c>
      <c r="O53" s="15">
        <v>434.0</v>
      </c>
      <c r="P53" s="17">
        <v>343.0</v>
      </c>
      <c r="Q53" s="15">
        <v>42.0</v>
      </c>
      <c r="R53" s="18">
        <v>3.29500000000008</v>
      </c>
      <c r="S53" s="19">
        <v>0.03064774164744475</v>
      </c>
      <c r="T53" s="20">
        <v>107.512</v>
      </c>
    </row>
    <row r="54">
      <c r="A54" s="15" t="s">
        <v>12</v>
      </c>
      <c r="B54" s="15" t="s">
        <v>152</v>
      </c>
      <c r="C54" s="15" t="s">
        <v>152</v>
      </c>
      <c r="D54" s="15" t="s">
        <v>153</v>
      </c>
      <c r="E54" s="16">
        <v>45962.0</v>
      </c>
      <c r="F54" s="15" t="s">
        <v>85</v>
      </c>
      <c r="G54" s="15">
        <v>4561.0</v>
      </c>
      <c r="H54" s="15">
        <v>128578.0</v>
      </c>
      <c r="I54" s="15">
        <v>6289.0</v>
      </c>
      <c r="J54" s="15">
        <v>149.0</v>
      </c>
      <c r="K54" s="17">
        <v>4.891194450061441</v>
      </c>
      <c r="L54" s="15">
        <v>120.0</v>
      </c>
      <c r="M54" s="15">
        <v>231.0</v>
      </c>
      <c r="N54" s="15">
        <v>103.0</v>
      </c>
      <c r="O54" s="15">
        <v>386.0</v>
      </c>
      <c r="P54" s="17">
        <v>283.0</v>
      </c>
      <c r="Q54" s="15">
        <v>25.0</v>
      </c>
      <c r="R54" s="18">
        <v>2.80500000000003</v>
      </c>
      <c r="S54" s="19">
        <v>0.024350649350649824</v>
      </c>
      <c r="T54" s="20">
        <v>115.191999999999</v>
      </c>
    </row>
    <row r="55">
      <c r="A55" s="15" t="s">
        <v>12</v>
      </c>
      <c r="B55" s="15" t="s">
        <v>154</v>
      </c>
      <c r="C55" s="15" t="s">
        <v>154</v>
      </c>
      <c r="D55" s="15" t="s">
        <v>79</v>
      </c>
      <c r="E55" s="16">
        <v>45995.0</v>
      </c>
      <c r="F55" s="15" t="s">
        <v>85</v>
      </c>
      <c r="G55" s="15">
        <v>4594.0</v>
      </c>
      <c r="H55" s="15">
        <v>52841.0</v>
      </c>
      <c r="I55" s="15">
        <v>3883.0</v>
      </c>
      <c r="J55" s="15">
        <v>123.0</v>
      </c>
      <c r="K55" s="17">
        <v>7.348460475766923</v>
      </c>
      <c r="L55" s="15">
        <v>120.0</v>
      </c>
      <c r="M55" s="15">
        <v>241.0</v>
      </c>
      <c r="N55" s="15">
        <v>100.0</v>
      </c>
      <c r="O55" s="15">
        <v>495.0</v>
      </c>
      <c r="P55" s="17">
        <v>395.0</v>
      </c>
      <c r="Q55" s="15">
        <v>49.0</v>
      </c>
      <c r="R55" s="18">
        <v>2.845</v>
      </c>
      <c r="S55" s="19">
        <v>0.025467272987682612</v>
      </c>
      <c r="T55" s="20">
        <v>111.712</v>
      </c>
    </row>
    <row r="56">
      <c r="A56" s="15" t="s">
        <v>12</v>
      </c>
      <c r="B56" s="15" t="s">
        <v>155</v>
      </c>
      <c r="C56" s="15" t="s">
        <v>155</v>
      </c>
      <c r="D56" s="15" t="s">
        <v>156</v>
      </c>
      <c r="E56" s="16">
        <v>45994.0</v>
      </c>
      <c r="F56" s="15" t="s">
        <v>85</v>
      </c>
      <c r="G56" s="15">
        <v>4593.0</v>
      </c>
      <c r="H56" s="15">
        <v>63180.0</v>
      </c>
      <c r="I56" s="15">
        <v>3990.0</v>
      </c>
      <c r="J56" s="15">
        <v>119.0</v>
      </c>
      <c r="K56" s="17">
        <v>6.315289648622982</v>
      </c>
      <c r="L56" s="15">
        <v>120.0</v>
      </c>
      <c r="M56" s="15">
        <v>235.0</v>
      </c>
      <c r="N56" s="15">
        <v>171.0</v>
      </c>
      <c r="O56" s="15">
        <v>479.0</v>
      </c>
      <c r="P56" s="17">
        <v>308.0</v>
      </c>
      <c r="Q56" s="15">
        <v>40.0</v>
      </c>
      <c r="R56" s="18">
        <v>1.13500000000001</v>
      </c>
      <c r="S56" s="19">
        <v>0.010358107614806255</v>
      </c>
      <c r="T56" s="20">
        <v>109.576</v>
      </c>
    </row>
    <row r="57">
      <c r="A57" s="15" t="s">
        <v>20</v>
      </c>
      <c r="B57" s="15" t="s">
        <v>157</v>
      </c>
      <c r="C57" s="15" t="s">
        <v>157</v>
      </c>
      <c r="D57" s="15" t="s">
        <v>111</v>
      </c>
      <c r="E57" s="16">
        <v>45576.0</v>
      </c>
      <c r="F57" s="15" t="s">
        <v>85</v>
      </c>
      <c r="G57" s="15">
        <v>3908.0</v>
      </c>
      <c r="H57" s="15">
        <v>10843.0</v>
      </c>
      <c r="I57" s="15">
        <v>547.0</v>
      </c>
      <c r="J57" s="15">
        <v>53.0</v>
      </c>
      <c r="K57" s="17">
        <v>5.044729318454302</v>
      </c>
      <c r="L57" s="15">
        <v>120.0</v>
      </c>
      <c r="M57" s="15">
        <v>193.0</v>
      </c>
      <c r="N57" s="15">
        <v>105.0</v>
      </c>
      <c r="O57" s="15">
        <v>387.0</v>
      </c>
      <c r="P57" s="17">
        <v>282.0</v>
      </c>
      <c r="Q57" s="15">
        <v>36.0</v>
      </c>
      <c r="R57" s="18">
        <v>7.91499999999999</v>
      </c>
      <c r="S57" s="19">
        <v>0.06935195569886435</v>
      </c>
      <c r="T57" s="15">
        <v>114.128</v>
      </c>
    </row>
    <row r="58">
      <c r="A58" s="15" t="s">
        <v>20</v>
      </c>
      <c r="B58" s="15" t="s">
        <v>158</v>
      </c>
      <c r="C58" s="15" t="s">
        <v>158</v>
      </c>
      <c r="D58" s="15" t="s">
        <v>159</v>
      </c>
      <c r="E58" s="16">
        <v>45566.0</v>
      </c>
      <c r="F58" s="15" t="s">
        <v>85</v>
      </c>
      <c r="G58" s="15">
        <v>3898.0</v>
      </c>
      <c r="H58" s="15">
        <v>6378.0</v>
      </c>
      <c r="I58" s="15">
        <v>522.0</v>
      </c>
      <c r="J58" s="15">
        <v>32.0</v>
      </c>
      <c r="K58" s="17">
        <v>8.184383819379114</v>
      </c>
      <c r="L58" s="15">
        <v>120.0</v>
      </c>
      <c r="M58" s="15">
        <v>191.0</v>
      </c>
      <c r="N58" s="15">
        <v>118.0</v>
      </c>
      <c r="O58" s="15">
        <v>401.0</v>
      </c>
      <c r="P58" s="17">
        <v>283.0</v>
      </c>
      <c r="Q58" s="15">
        <v>37.0</v>
      </c>
      <c r="R58" s="18">
        <v>7.69999999999988</v>
      </c>
      <c r="S58" s="19">
        <v>0.06710590531966709</v>
      </c>
      <c r="T58" s="15">
        <v>114.744</v>
      </c>
    </row>
    <row r="59">
      <c r="A59" s="15" t="s">
        <v>20</v>
      </c>
      <c r="B59" s="15" t="s">
        <v>160</v>
      </c>
      <c r="C59" s="15" t="s">
        <v>160</v>
      </c>
      <c r="D59" s="15" t="s">
        <v>92</v>
      </c>
      <c r="E59" s="16">
        <v>45360.0</v>
      </c>
      <c r="F59" s="15" t="s">
        <v>85</v>
      </c>
      <c r="G59" s="15">
        <v>3692.0</v>
      </c>
      <c r="H59" s="15">
        <v>19183.0</v>
      </c>
      <c r="I59" s="15">
        <v>989.0</v>
      </c>
      <c r="J59" s="15">
        <v>44.0</v>
      </c>
      <c r="K59" s="17">
        <v>5.155606526612105</v>
      </c>
      <c r="L59" s="15">
        <v>120.0</v>
      </c>
      <c r="M59" s="15">
        <v>222.0</v>
      </c>
      <c r="N59" s="15">
        <v>107.0</v>
      </c>
      <c r="O59" s="15">
        <v>423.0</v>
      </c>
      <c r="P59" s="17">
        <v>316.0</v>
      </c>
      <c r="Q59" s="15">
        <v>45.0</v>
      </c>
      <c r="R59" s="18">
        <v>9.25000000000002</v>
      </c>
      <c r="S59" s="19">
        <v>0.08047957123964658</v>
      </c>
      <c r="T59" s="15">
        <v>114.936</v>
      </c>
    </row>
    <row r="60">
      <c r="A60" s="15" t="s">
        <v>20</v>
      </c>
      <c r="B60" s="15" t="s">
        <v>161</v>
      </c>
      <c r="C60" s="15" t="s">
        <v>161</v>
      </c>
      <c r="D60" s="15" t="s">
        <v>92</v>
      </c>
      <c r="E60" s="16">
        <v>45365.0</v>
      </c>
      <c r="F60" s="15" t="s">
        <v>85</v>
      </c>
      <c r="G60" s="15">
        <v>3698.0</v>
      </c>
      <c r="H60" s="15">
        <v>8152.0</v>
      </c>
      <c r="I60" s="15">
        <v>528.0</v>
      </c>
      <c r="J60" s="15">
        <v>25.0</v>
      </c>
      <c r="K60" s="17">
        <v>6.47693817468106</v>
      </c>
      <c r="L60" s="15">
        <v>120.0</v>
      </c>
      <c r="M60" s="15">
        <v>212.0</v>
      </c>
      <c r="N60" s="15">
        <v>99.0</v>
      </c>
      <c r="O60" s="15">
        <v>414.0</v>
      </c>
      <c r="P60" s="17">
        <v>315.0</v>
      </c>
      <c r="Q60" s="15">
        <v>42.0</v>
      </c>
      <c r="R60" s="18">
        <v>6.9</v>
      </c>
      <c r="S60" s="19">
        <v>0.06013386320853378</v>
      </c>
      <c r="T60" s="15">
        <v>114.744</v>
      </c>
    </row>
    <row r="61">
      <c r="A61" s="15" t="s">
        <v>20</v>
      </c>
      <c r="B61" s="15" t="s">
        <v>162</v>
      </c>
      <c r="C61" s="15" t="s">
        <v>162</v>
      </c>
      <c r="D61" s="15" t="s">
        <v>163</v>
      </c>
      <c r="E61" s="16">
        <v>45548.0</v>
      </c>
      <c r="F61" s="15" t="s">
        <v>85</v>
      </c>
      <c r="G61" s="15">
        <v>3880.0</v>
      </c>
      <c r="H61" s="15">
        <v>5589.0</v>
      </c>
      <c r="I61" s="15">
        <v>440.0</v>
      </c>
      <c r="J61" s="15">
        <v>32.0</v>
      </c>
      <c r="K61" s="17">
        <v>7.872606906423331</v>
      </c>
      <c r="L61" s="15">
        <v>120.0</v>
      </c>
      <c r="M61" s="15">
        <v>209.0</v>
      </c>
      <c r="N61" s="15">
        <v>146.0</v>
      </c>
      <c r="O61" s="15">
        <v>371.0</v>
      </c>
      <c r="P61" s="17">
        <v>225.0</v>
      </c>
      <c r="Q61" s="15">
        <v>35.0</v>
      </c>
      <c r="R61" s="18">
        <v>15.595</v>
      </c>
      <c r="S61" s="19">
        <v>0.13911189609648184</v>
      </c>
      <c r="T61" s="15">
        <v>112.104</v>
      </c>
    </row>
    <row r="62">
      <c r="A62" s="24" t="s">
        <v>22</v>
      </c>
      <c r="B62" s="15" t="s">
        <v>164</v>
      </c>
      <c r="C62" s="15" t="s">
        <v>164</v>
      </c>
      <c r="D62" s="15" t="s">
        <v>165</v>
      </c>
      <c r="E62" s="16">
        <v>45920.0</v>
      </c>
      <c r="F62" s="15" t="s">
        <v>85</v>
      </c>
      <c r="G62" s="15">
        <v>5561.0</v>
      </c>
      <c r="H62" s="15">
        <v>398077.0</v>
      </c>
      <c r="I62" s="15">
        <v>16866.0</v>
      </c>
      <c r="J62" s="15">
        <v>654.0</v>
      </c>
      <c r="K62" s="17">
        <v>4.236868746498793</v>
      </c>
      <c r="L62" s="15">
        <v>120.0</v>
      </c>
      <c r="M62" s="15">
        <v>206.0</v>
      </c>
      <c r="N62" s="15">
        <v>100.0</v>
      </c>
      <c r="O62" s="15">
        <v>391.0</v>
      </c>
      <c r="P62" s="17">
        <v>291.0</v>
      </c>
      <c r="Q62" s="15">
        <v>38.0</v>
      </c>
      <c r="R62" s="15">
        <v>6.125</v>
      </c>
      <c r="S62" s="19">
        <v>0.05133943539193992</v>
      </c>
      <c r="T62" s="15">
        <v>119.304</v>
      </c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>
      <c r="A63" s="24" t="s">
        <v>22</v>
      </c>
      <c r="B63" s="15" t="s">
        <v>166</v>
      </c>
      <c r="C63" s="15" t="s">
        <v>166</v>
      </c>
      <c r="D63" s="15" t="s">
        <v>167</v>
      </c>
      <c r="E63" s="16">
        <v>45836.0</v>
      </c>
      <c r="F63" s="15" t="s">
        <v>85</v>
      </c>
      <c r="G63" s="15">
        <v>5477.0</v>
      </c>
      <c r="H63" s="15">
        <v>635759.0</v>
      </c>
      <c r="I63" s="15">
        <v>27515.0</v>
      </c>
      <c r="J63" s="15">
        <v>1474.0</v>
      </c>
      <c r="K63" s="17">
        <v>4.327897835500559</v>
      </c>
      <c r="L63" s="15">
        <v>120.0</v>
      </c>
      <c r="M63" s="15">
        <v>211.0</v>
      </c>
      <c r="N63" s="15">
        <v>103.0</v>
      </c>
      <c r="O63" s="15">
        <v>423.0</v>
      </c>
      <c r="P63" s="17">
        <v>320.0</v>
      </c>
      <c r="Q63" s="15">
        <v>38.0</v>
      </c>
      <c r="R63" s="15">
        <v>6.48</v>
      </c>
      <c r="S63" s="19">
        <v>0.05547565235257859</v>
      </c>
      <c r="T63" s="15">
        <v>116.808</v>
      </c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>
      <c r="A64" s="24" t="s">
        <v>22</v>
      </c>
      <c r="B64" s="15" t="s">
        <v>168</v>
      </c>
      <c r="C64" s="15" t="s">
        <v>168</v>
      </c>
      <c r="D64" s="15" t="s">
        <v>169</v>
      </c>
      <c r="E64" s="16">
        <v>45996.0</v>
      </c>
      <c r="F64" s="15" t="s">
        <v>85</v>
      </c>
      <c r="G64" s="15">
        <v>5637.0</v>
      </c>
      <c r="H64" s="15">
        <v>161813.0</v>
      </c>
      <c r="I64" s="15">
        <v>8477.0</v>
      </c>
      <c r="J64" s="15">
        <v>528.0</v>
      </c>
      <c r="K64" s="17">
        <v>5.238763263767435</v>
      </c>
      <c r="L64" s="15">
        <v>120.0</v>
      </c>
      <c r="M64" s="15">
        <v>205.0</v>
      </c>
      <c r="N64" s="15">
        <v>100.0</v>
      </c>
      <c r="O64" s="15">
        <v>438.0</v>
      </c>
      <c r="P64" s="17">
        <v>338.0</v>
      </c>
      <c r="Q64" s="15">
        <v>34.0</v>
      </c>
      <c r="R64" s="15">
        <v>4.515</v>
      </c>
      <c r="S64" s="19">
        <v>0.03824197045670145</v>
      </c>
      <c r="T64" s="15">
        <v>118.064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>
      <c r="A65" s="24" t="s">
        <v>22</v>
      </c>
      <c r="B65" s="15" t="s">
        <v>170</v>
      </c>
      <c r="C65" s="15" t="s">
        <v>170</v>
      </c>
      <c r="D65" s="15" t="s">
        <v>171</v>
      </c>
      <c r="E65" s="16">
        <v>45961.0</v>
      </c>
      <c r="F65" s="15" t="s">
        <v>85</v>
      </c>
      <c r="G65" s="15">
        <v>5602.0</v>
      </c>
      <c r="H65" s="15">
        <v>261707.0</v>
      </c>
      <c r="I65" s="15">
        <v>11327.0</v>
      </c>
      <c r="J65" s="15">
        <v>414.0</v>
      </c>
      <c r="K65" s="17">
        <v>4.328122671537254</v>
      </c>
      <c r="L65" s="15">
        <v>120.0</v>
      </c>
      <c r="M65" s="15">
        <v>208.0</v>
      </c>
      <c r="N65" s="15">
        <v>92.0</v>
      </c>
      <c r="O65" s="15">
        <v>378.0</v>
      </c>
      <c r="P65" s="17">
        <v>286.0</v>
      </c>
      <c r="Q65" s="15">
        <v>37.0</v>
      </c>
      <c r="R65" s="15">
        <v>8.335</v>
      </c>
      <c r="S65" s="19">
        <v>0.07228717130368419</v>
      </c>
      <c r="T65" s="15">
        <v>115.304</v>
      </c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>
      <c r="A66" s="24" t="s">
        <v>22</v>
      </c>
      <c r="B66" s="15" t="s">
        <v>172</v>
      </c>
      <c r="C66" s="15" t="s">
        <v>172</v>
      </c>
      <c r="D66" s="15" t="s">
        <v>173</v>
      </c>
      <c r="E66" s="16">
        <v>45727.0</v>
      </c>
      <c r="F66" s="15" t="s">
        <v>85</v>
      </c>
      <c r="G66" s="15">
        <v>5368.0</v>
      </c>
      <c r="H66" s="15">
        <v>726015.0</v>
      </c>
      <c r="I66" s="15">
        <v>25962.0</v>
      </c>
      <c r="J66" s="15">
        <v>1220.0</v>
      </c>
      <c r="K66" s="17">
        <v>3.575959174397223</v>
      </c>
      <c r="L66" s="15">
        <v>120.0</v>
      </c>
      <c r="M66" s="15">
        <v>215.0</v>
      </c>
      <c r="N66" s="15">
        <v>88.0</v>
      </c>
      <c r="O66" s="15">
        <v>404.0</v>
      </c>
      <c r="P66" s="17">
        <v>316.0</v>
      </c>
      <c r="Q66" s="15">
        <v>35.0</v>
      </c>
      <c r="R66" s="15">
        <v>4.995</v>
      </c>
      <c r="S66" s="19">
        <v>0.04210215778826703</v>
      </c>
      <c r="T66" s="15">
        <v>118.64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>
      <c r="A67" s="27" t="s">
        <v>24</v>
      </c>
      <c r="B67" s="15" t="s">
        <v>174</v>
      </c>
      <c r="C67" s="15" t="s">
        <v>174</v>
      </c>
      <c r="D67" s="15" t="s">
        <v>92</v>
      </c>
      <c r="E67" s="16">
        <v>45966.0</v>
      </c>
      <c r="F67" s="15" t="s">
        <v>85</v>
      </c>
      <c r="G67" s="15">
        <v>3996.0</v>
      </c>
      <c r="H67" s="15">
        <v>18910.0</v>
      </c>
      <c r="I67" s="15">
        <v>1759.0</v>
      </c>
      <c r="J67" s="15">
        <v>222.0</v>
      </c>
      <c r="K67" s="17">
        <v>9.301956636700158</v>
      </c>
      <c r="L67" s="15">
        <v>120.0</v>
      </c>
      <c r="M67" s="15">
        <v>233.0</v>
      </c>
      <c r="N67" s="15">
        <v>97.0</v>
      </c>
      <c r="O67" s="15">
        <v>404.0</v>
      </c>
      <c r="P67" s="17">
        <v>307.0</v>
      </c>
      <c r="Q67" s="15">
        <v>39.0</v>
      </c>
      <c r="R67" s="15">
        <v>11.105</v>
      </c>
      <c r="S67" s="19">
        <v>0.10528860740291363</v>
      </c>
      <c r="T67" s="15">
        <v>105.471999999999</v>
      </c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>
      <c r="A68" s="27" t="s">
        <v>24</v>
      </c>
      <c r="B68" s="15" t="s">
        <v>175</v>
      </c>
      <c r="C68" s="15" t="s">
        <v>175</v>
      </c>
      <c r="D68" s="15" t="s">
        <v>176</v>
      </c>
      <c r="E68" s="16">
        <v>45981.0</v>
      </c>
      <c r="F68" s="15" t="s">
        <v>85</v>
      </c>
      <c r="G68" s="15">
        <v>4010.0</v>
      </c>
      <c r="H68" s="15">
        <v>29437.0</v>
      </c>
      <c r="I68" s="15">
        <v>1865.0</v>
      </c>
      <c r="J68" s="15">
        <v>206.0</v>
      </c>
      <c r="K68" s="17">
        <v>6.3355640860142</v>
      </c>
      <c r="L68" s="15">
        <v>120.0</v>
      </c>
      <c r="M68" s="15">
        <v>200.0</v>
      </c>
      <c r="N68" s="15">
        <v>91.0</v>
      </c>
      <c r="O68" s="15">
        <v>498.0</v>
      </c>
      <c r="P68" s="17">
        <v>407.0</v>
      </c>
      <c r="Q68" s="15">
        <v>45.0</v>
      </c>
      <c r="R68" s="15">
        <v>19.44</v>
      </c>
      <c r="S68" s="19">
        <v>0.19554196507604432</v>
      </c>
      <c r="T68" s="15">
        <v>99.4159999999999</v>
      </c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>
      <c r="A69" s="27" t="s">
        <v>24</v>
      </c>
      <c r="B69" s="15" t="s">
        <v>177</v>
      </c>
      <c r="C69" s="15" t="s">
        <v>177</v>
      </c>
      <c r="D69" s="15" t="s">
        <v>84</v>
      </c>
      <c r="E69" s="16">
        <v>45964.0</v>
      </c>
      <c r="F69" s="15" t="s">
        <v>85</v>
      </c>
      <c r="G69" s="15">
        <v>3993.0</v>
      </c>
      <c r="H69" s="15">
        <v>20506.0</v>
      </c>
      <c r="I69" s="15">
        <v>1440.0</v>
      </c>
      <c r="J69" s="15">
        <v>105.0</v>
      </c>
      <c r="K69" s="17">
        <v>7.022334926363016</v>
      </c>
      <c r="L69" s="15">
        <v>120.0</v>
      </c>
      <c r="M69" s="15">
        <v>225.0</v>
      </c>
      <c r="N69" s="15">
        <v>92.0</v>
      </c>
      <c r="O69" s="15">
        <v>433.0</v>
      </c>
      <c r="P69" s="17">
        <v>341.0</v>
      </c>
      <c r="Q69" s="15">
        <v>39.0</v>
      </c>
      <c r="R69" s="15">
        <v>11.75</v>
      </c>
      <c r="S69" s="19">
        <v>0.11712519936204148</v>
      </c>
      <c r="T69" s="15">
        <v>100.32</v>
      </c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>
      <c r="A70" s="27" t="s">
        <v>24</v>
      </c>
      <c r="B70" s="15" t="s">
        <v>178</v>
      </c>
      <c r="C70" s="15" t="s">
        <v>178</v>
      </c>
      <c r="D70" s="15" t="s">
        <v>92</v>
      </c>
      <c r="E70" s="16">
        <v>45995.0</v>
      </c>
      <c r="F70" s="15" t="s">
        <v>85</v>
      </c>
      <c r="G70" s="15">
        <v>4024.0</v>
      </c>
      <c r="H70" s="15">
        <v>15827.0</v>
      </c>
      <c r="I70" s="15">
        <v>1255.0</v>
      </c>
      <c r="J70" s="15">
        <v>72.0</v>
      </c>
      <c r="K70" s="17">
        <v>7.929487584507487</v>
      </c>
      <c r="L70" s="15">
        <v>120.0</v>
      </c>
      <c r="M70" s="15">
        <v>230.0</v>
      </c>
      <c r="N70" s="15">
        <v>158.0</v>
      </c>
      <c r="O70" s="15">
        <v>400.0</v>
      </c>
      <c r="P70" s="17">
        <v>242.0</v>
      </c>
      <c r="Q70" s="15">
        <v>32.0</v>
      </c>
      <c r="R70" s="15">
        <v>13.525</v>
      </c>
      <c r="S70" s="19">
        <v>0.14389522512554276</v>
      </c>
      <c r="T70" s="15">
        <v>93.9919999999999</v>
      </c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>
      <c r="A71" s="27" t="s">
        <v>24</v>
      </c>
      <c r="B71" s="15" t="s">
        <v>179</v>
      </c>
      <c r="C71" s="15" t="s">
        <v>179</v>
      </c>
      <c r="D71" s="15" t="s">
        <v>180</v>
      </c>
      <c r="E71" s="16">
        <v>45991.0</v>
      </c>
      <c r="F71" s="15" t="s">
        <v>85</v>
      </c>
      <c r="G71" s="15">
        <v>4021.0</v>
      </c>
      <c r="H71" s="15">
        <v>30354.0</v>
      </c>
      <c r="I71" s="15">
        <v>1899.0</v>
      </c>
      <c r="J71" s="15">
        <v>233.0</v>
      </c>
      <c r="K71" s="17">
        <v>6.25617711010081</v>
      </c>
      <c r="L71" s="15">
        <v>120.0</v>
      </c>
      <c r="M71" s="15">
        <v>237.0</v>
      </c>
      <c r="N71" s="15">
        <v>102.0</v>
      </c>
      <c r="O71" s="15">
        <v>462.0</v>
      </c>
      <c r="P71" s="17">
        <v>360.0</v>
      </c>
      <c r="Q71" s="15">
        <v>43.0</v>
      </c>
      <c r="R71" s="15">
        <v>14.61</v>
      </c>
      <c r="S71" s="19">
        <v>0.1560764037261774</v>
      </c>
      <c r="T71" s="15">
        <v>93.6079999999999</v>
      </c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>
      <c r="A72" s="24" t="s">
        <v>27</v>
      </c>
      <c r="B72" s="15" t="s">
        <v>181</v>
      </c>
      <c r="C72" s="15" t="s">
        <v>181</v>
      </c>
      <c r="D72" s="15" t="s">
        <v>92</v>
      </c>
      <c r="E72" s="16">
        <v>45636.0</v>
      </c>
      <c r="F72" s="15" t="s">
        <v>85</v>
      </c>
      <c r="G72" s="15">
        <v>3365.0</v>
      </c>
      <c r="H72" s="15">
        <v>583.0</v>
      </c>
      <c r="I72" s="15">
        <v>32.0</v>
      </c>
      <c r="J72" s="15">
        <v>3.0</v>
      </c>
      <c r="K72" s="17">
        <v>5.4888507718696395</v>
      </c>
      <c r="L72" s="15">
        <v>120.0</v>
      </c>
      <c r="M72" s="15">
        <v>226.0</v>
      </c>
      <c r="N72" s="15">
        <v>91.0</v>
      </c>
      <c r="O72" s="15">
        <v>467.0</v>
      </c>
      <c r="P72" s="17">
        <v>376.0</v>
      </c>
      <c r="Q72" s="15">
        <v>52.0</v>
      </c>
      <c r="R72" s="15">
        <v>10.815</v>
      </c>
      <c r="S72" s="19">
        <v>0.1088641488162345</v>
      </c>
      <c r="T72" s="15">
        <v>99.344</v>
      </c>
    </row>
    <row r="73">
      <c r="A73" s="24" t="s">
        <v>27</v>
      </c>
      <c r="B73" s="15" t="s">
        <v>181</v>
      </c>
      <c r="C73" s="15" t="s">
        <v>181</v>
      </c>
      <c r="D73" s="15" t="s">
        <v>94</v>
      </c>
      <c r="E73" s="43">
        <v>45636.0</v>
      </c>
      <c r="F73" s="44" t="s">
        <v>85</v>
      </c>
      <c r="G73" s="15">
        <v>3365.0</v>
      </c>
      <c r="H73" s="15">
        <v>583.0</v>
      </c>
      <c r="I73" s="15">
        <v>32.0</v>
      </c>
      <c r="J73" s="15">
        <v>3.0</v>
      </c>
      <c r="K73" s="17">
        <v>5.4888507718696395</v>
      </c>
      <c r="L73" s="15">
        <v>120.0</v>
      </c>
      <c r="M73" s="15">
        <v>224.0</v>
      </c>
      <c r="N73" s="15">
        <v>92.0</v>
      </c>
      <c r="O73" s="15">
        <v>390.0</v>
      </c>
      <c r="P73" s="17">
        <v>298.0</v>
      </c>
      <c r="Q73" s="15">
        <v>48.0</v>
      </c>
      <c r="R73" s="15">
        <v>8.87</v>
      </c>
      <c r="S73" s="19">
        <v>0.0803383812767198</v>
      </c>
      <c r="T73" s="15">
        <v>110.407999999999</v>
      </c>
    </row>
    <row r="74">
      <c r="A74" s="24" t="s">
        <v>27</v>
      </c>
      <c r="B74" s="15" t="s">
        <v>182</v>
      </c>
      <c r="C74" s="15" t="s">
        <v>182</v>
      </c>
      <c r="D74" s="15" t="s">
        <v>92</v>
      </c>
      <c r="E74" s="45">
        <v>45761.0</v>
      </c>
      <c r="F74" s="46" t="s">
        <v>85</v>
      </c>
      <c r="G74" s="15">
        <v>3490.0</v>
      </c>
      <c r="H74" s="15">
        <v>440.0</v>
      </c>
      <c r="I74" s="15">
        <v>25.0</v>
      </c>
      <c r="J74" s="15">
        <v>1.0</v>
      </c>
      <c r="K74" s="17">
        <v>5.681818181818182</v>
      </c>
      <c r="L74" s="15">
        <v>120.0</v>
      </c>
      <c r="M74" s="15">
        <v>232.0</v>
      </c>
      <c r="N74" s="15">
        <v>89.0</v>
      </c>
      <c r="O74" s="15">
        <v>470.0</v>
      </c>
      <c r="P74" s="17">
        <v>381.0</v>
      </c>
      <c r="Q74" s="15">
        <v>44.0</v>
      </c>
      <c r="R74" s="15">
        <v>16.45</v>
      </c>
      <c r="S74" s="19">
        <v>0.15790585163569343</v>
      </c>
      <c r="T74" s="15">
        <v>104.176</v>
      </c>
    </row>
    <row r="75">
      <c r="A75" s="24" t="s">
        <v>27</v>
      </c>
      <c r="B75" s="15" t="s">
        <v>182</v>
      </c>
      <c r="C75" s="15" t="s">
        <v>182</v>
      </c>
      <c r="D75" s="15" t="s">
        <v>183</v>
      </c>
      <c r="E75" s="43">
        <v>45761.0</v>
      </c>
      <c r="F75" s="44" t="s">
        <v>85</v>
      </c>
      <c r="G75" s="15">
        <v>3490.0</v>
      </c>
      <c r="H75" s="15">
        <v>440.0</v>
      </c>
      <c r="I75" s="15">
        <v>25.0</v>
      </c>
      <c r="J75" s="15">
        <v>1.0</v>
      </c>
      <c r="K75" s="17">
        <v>5.681818181818182</v>
      </c>
      <c r="L75" s="15">
        <v>120.0</v>
      </c>
      <c r="M75" s="15">
        <v>245.0</v>
      </c>
      <c r="N75" s="15">
        <v>91.0</v>
      </c>
      <c r="O75" s="15">
        <v>444.0</v>
      </c>
      <c r="P75" s="17">
        <v>353.0</v>
      </c>
      <c r="Q75" s="15">
        <v>47.0</v>
      </c>
      <c r="R75" s="15">
        <v>15.83</v>
      </c>
      <c r="S75" s="19">
        <v>0.16314205622887296</v>
      </c>
      <c r="T75" s="15">
        <v>97.032</v>
      </c>
    </row>
    <row r="76">
      <c r="A76" s="24" t="s">
        <v>27</v>
      </c>
      <c r="B76" s="15" t="s">
        <v>184</v>
      </c>
      <c r="C76" s="15" t="s">
        <v>184</v>
      </c>
      <c r="D76" s="15" t="s">
        <v>92</v>
      </c>
      <c r="E76" s="45">
        <v>45638.0</v>
      </c>
      <c r="F76" s="46" t="s">
        <v>85</v>
      </c>
      <c r="G76" s="15">
        <v>3367.0</v>
      </c>
      <c r="H76" s="15">
        <v>270.0</v>
      </c>
      <c r="I76" s="15">
        <v>9.0</v>
      </c>
      <c r="J76" s="15">
        <v>2.0</v>
      </c>
      <c r="K76" s="17">
        <v>3.3333333333333335</v>
      </c>
      <c r="L76" s="15">
        <v>120.0</v>
      </c>
      <c r="M76" s="15">
        <v>229.0</v>
      </c>
      <c r="N76" s="15">
        <v>108.0</v>
      </c>
      <c r="O76" s="15">
        <v>459.0</v>
      </c>
      <c r="P76" s="17">
        <v>351.0</v>
      </c>
      <c r="Q76" s="15">
        <v>32.0</v>
      </c>
      <c r="R76" s="15">
        <v>5.65</v>
      </c>
      <c r="S76" s="19">
        <v>0.049178330199846805</v>
      </c>
      <c r="T76" s="15">
        <v>114.888</v>
      </c>
    </row>
    <row r="77">
      <c r="A77" s="27" t="s">
        <v>29</v>
      </c>
      <c r="B77" s="15" t="s">
        <v>185</v>
      </c>
      <c r="C77" s="15" t="s">
        <v>185</v>
      </c>
      <c r="D77" s="15" t="s">
        <v>84</v>
      </c>
      <c r="E77" s="43">
        <v>45991.0</v>
      </c>
      <c r="F77" s="44" t="s">
        <v>85</v>
      </c>
      <c r="G77" s="15">
        <v>2103.0</v>
      </c>
      <c r="H77" s="15">
        <v>11077.0</v>
      </c>
      <c r="I77" s="15">
        <v>880.0</v>
      </c>
      <c r="J77" s="15">
        <v>94.0</v>
      </c>
      <c r="K77" s="17">
        <v>7.944389275074479</v>
      </c>
      <c r="L77" s="15">
        <v>120.0</v>
      </c>
      <c r="M77" s="15">
        <v>182.0</v>
      </c>
      <c r="N77" s="15">
        <v>101.0</v>
      </c>
      <c r="O77" s="15">
        <v>364.0</v>
      </c>
      <c r="P77" s="17">
        <v>263.0</v>
      </c>
      <c r="Q77" s="15">
        <v>28.0</v>
      </c>
      <c r="R77" s="15">
        <v>10.065</v>
      </c>
      <c r="S77" s="19">
        <v>0.08649879683740117</v>
      </c>
      <c r="T77" s="15">
        <v>116.36</v>
      </c>
    </row>
    <row r="78">
      <c r="A78" s="27" t="s">
        <v>29</v>
      </c>
      <c r="B78" s="15" t="s">
        <v>185</v>
      </c>
      <c r="C78" s="15" t="s">
        <v>185</v>
      </c>
      <c r="D78" s="15" t="s">
        <v>186</v>
      </c>
      <c r="E78" s="45">
        <v>45991.0</v>
      </c>
      <c r="F78" s="46" t="s">
        <v>85</v>
      </c>
      <c r="G78" s="15">
        <v>2103.0</v>
      </c>
      <c r="H78" s="15">
        <v>11077.0</v>
      </c>
      <c r="I78" s="15">
        <v>880.0</v>
      </c>
      <c r="J78" s="15">
        <v>94.0</v>
      </c>
      <c r="K78" s="17">
        <v>7.944389275074479</v>
      </c>
      <c r="L78" s="15">
        <v>120.0</v>
      </c>
      <c r="M78" s="15">
        <v>181.0</v>
      </c>
      <c r="N78" s="15">
        <v>91.0</v>
      </c>
      <c r="O78" s="15">
        <v>384.0</v>
      </c>
      <c r="P78" s="17">
        <v>293.0</v>
      </c>
      <c r="Q78" s="15">
        <v>31.0</v>
      </c>
      <c r="R78" s="15">
        <v>11.56</v>
      </c>
      <c r="S78" s="19">
        <v>0.10039602584589818</v>
      </c>
      <c r="T78" s="15">
        <v>115.143999999999</v>
      </c>
    </row>
    <row r="79">
      <c r="A79" s="27" t="s">
        <v>29</v>
      </c>
      <c r="B79" s="15" t="s">
        <v>187</v>
      </c>
      <c r="C79" s="15" t="s">
        <v>187</v>
      </c>
      <c r="D79" s="15" t="s">
        <v>125</v>
      </c>
      <c r="E79" s="43">
        <v>45984.0</v>
      </c>
      <c r="F79" s="44" t="s">
        <v>85</v>
      </c>
      <c r="G79" s="15">
        <v>2096.0</v>
      </c>
      <c r="H79" s="15">
        <v>6836.0</v>
      </c>
      <c r="I79" s="15">
        <v>688.0</v>
      </c>
      <c r="J79" s="15">
        <v>64.0</v>
      </c>
      <c r="K79" s="17">
        <v>10.064365125804564</v>
      </c>
      <c r="L79" s="15">
        <v>120.0</v>
      </c>
      <c r="M79" s="15">
        <v>178.0</v>
      </c>
      <c r="N79" s="15">
        <v>100.0</v>
      </c>
      <c r="O79" s="15">
        <v>467.0</v>
      </c>
      <c r="P79" s="17">
        <v>367.0</v>
      </c>
      <c r="Q79" s="15">
        <v>37.0</v>
      </c>
      <c r="R79" s="15">
        <v>10.57</v>
      </c>
      <c r="S79" s="19">
        <v>0.0936392629340893</v>
      </c>
      <c r="T79" s="15">
        <v>112.88</v>
      </c>
    </row>
    <row r="80">
      <c r="A80" s="27" t="s">
        <v>29</v>
      </c>
      <c r="B80" s="15" t="s">
        <v>188</v>
      </c>
      <c r="C80" s="15" t="s">
        <v>188</v>
      </c>
      <c r="D80" s="15" t="s">
        <v>84</v>
      </c>
      <c r="E80" s="45">
        <v>45962.0</v>
      </c>
      <c r="F80" s="46" t="s">
        <v>85</v>
      </c>
      <c r="G80" s="15">
        <v>2074.0</v>
      </c>
      <c r="H80" s="15">
        <v>8678.0</v>
      </c>
      <c r="I80" s="15">
        <v>841.0</v>
      </c>
      <c r="J80" s="15">
        <v>81.0</v>
      </c>
      <c r="K80" s="17">
        <v>9.691173081355151</v>
      </c>
      <c r="L80" s="15">
        <v>120.0</v>
      </c>
      <c r="M80" s="15">
        <v>184.0</v>
      </c>
      <c r="N80" s="15">
        <v>103.0</v>
      </c>
      <c r="O80" s="15">
        <v>423.0</v>
      </c>
      <c r="P80" s="17">
        <v>320.0</v>
      </c>
      <c r="Q80" s="15">
        <v>31.0</v>
      </c>
      <c r="R80" s="15">
        <v>10.14</v>
      </c>
      <c r="S80" s="19">
        <v>0.09200116135588383</v>
      </c>
      <c r="T80" s="15">
        <v>110.215999999999</v>
      </c>
    </row>
    <row r="81">
      <c r="A81" s="27" t="s">
        <v>29</v>
      </c>
      <c r="B81" s="15" t="s">
        <v>189</v>
      </c>
      <c r="C81" s="15" t="s">
        <v>189</v>
      </c>
      <c r="D81" s="15" t="s">
        <v>125</v>
      </c>
      <c r="E81" s="16">
        <v>45977.0</v>
      </c>
      <c r="F81" s="15" t="s">
        <v>85</v>
      </c>
      <c r="G81" s="15">
        <v>2089.0</v>
      </c>
      <c r="H81" s="15">
        <v>8076.0</v>
      </c>
      <c r="I81" s="15">
        <v>912.0</v>
      </c>
      <c r="J81" s="15">
        <v>94.0</v>
      </c>
      <c r="K81" s="17">
        <v>11.292719167904904</v>
      </c>
      <c r="L81" s="15">
        <v>120.0</v>
      </c>
      <c r="M81" s="15">
        <v>179.0</v>
      </c>
      <c r="N81" s="15">
        <v>100.0</v>
      </c>
      <c r="O81" s="15">
        <v>372.0</v>
      </c>
      <c r="P81" s="17">
        <v>272.0</v>
      </c>
      <c r="Q81" s="15">
        <v>32.0</v>
      </c>
      <c r="R81" s="15">
        <v>8.445</v>
      </c>
      <c r="S81" s="19">
        <v>0.08398639509905406</v>
      </c>
      <c r="T81" s="15">
        <v>100.551999999999</v>
      </c>
    </row>
    <row r="82">
      <c r="A82" s="24" t="s">
        <v>31</v>
      </c>
      <c r="B82" s="15" t="s">
        <v>190</v>
      </c>
      <c r="C82" s="15" t="s">
        <v>190</v>
      </c>
      <c r="D82" s="15" t="s">
        <v>191</v>
      </c>
      <c r="E82" s="16">
        <v>45970.0</v>
      </c>
      <c r="F82" s="15" t="s">
        <v>85</v>
      </c>
      <c r="G82" s="15">
        <v>7018.0</v>
      </c>
      <c r="H82" s="15">
        <v>5868.0</v>
      </c>
      <c r="I82" s="15">
        <v>700.0</v>
      </c>
      <c r="J82" s="15">
        <v>91.0</v>
      </c>
      <c r="K82" s="17">
        <v>11.929107021131562</v>
      </c>
      <c r="L82" s="15">
        <v>120.0</v>
      </c>
      <c r="M82" s="15">
        <v>194.0</v>
      </c>
      <c r="N82" s="15">
        <v>113.0</v>
      </c>
      <c r="O82" s="15">
        <v>484.0</v>
      </c>
      <c r="P82" s="17">
        <v>371.0</v>
      </c>
      <c r="Q82" s="15">
        <v>47.0</v>
      </c>
      <c r="R82" s="15">
        <v>11.48</v>
      </c>
      <c r="S82" s="19">
        <v>0.11601584606677998</v>
      </c>
      <c r="T82" s="15">
        <v>98.9519999999999</v>
      </c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>
      <c r="A83" s="24" t="s">
        <v>31</v>
      </c>
      <c r="B83" s="15" t="s">
        <v>192</v>
      </c>
      <c r="C83" s="15" t="s">
        <v>192</v>
      </c>
      <c r="D83" s="15" t="s">
        <v>193</v>
      </c>
      <c r="E83" s="16">
        <v>45998.0</v>
      </c>
      <c r="F83" s="15" t="s">
        <v>85</v>
      </c>
      <c r="G83" s="15">
        <v>7046.0</v>
      </c>
      <c r="H83" s="15">
        <v>1594.0</v>
      </c>
      <c r="I83" s="15">
        <v>282.0</v>
      </c>
      <c r="J83" s="15">
        <v>27.0</v>
      </c>
      <c r="K83" s="17">
        <v>17.691342534504393</v>
      </c>
      <c r="L83" s="15">
        <v>120.0</v>
      </c>
      <c r="M83" s="15">
        <v>184.0</v>
      </c>
      <c r="N83" s="15">
        <v>99.0</v>
      </c>
      <c r="O83" s="15">
        <v>511.0</v>
      </c>
      <c r="P83" s="17">
        <v>412.0</v>
      </c>
      <c r="Q83" s="15">
        <v>44.0</v>
      </c>
      <c r="R83" s="15">
        <v>9.5</v>
      </c>
      <c r="S83" s="19">
        <v>0.09503801520608243</v>
      </c>
      <c r="T83" s="15">
        <v>99.96</v>
      </c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>
      <c r="A84" s="24" t="s">
        <v>31</v>
      </c>
      <c r="B84" s="15" t="s">
        <v>194</v>
      </c>
      <c r="C84" s="15" t="s">
        <v>194</v>
      </c>
      <c r="D84" s="15" t="s">
        <v>195</v>
      </c>
      <c r="E84" s="16">
        <v>45930.0</v>
      </c>
      <c r="F84" s="15" t="s">
        <v>85</v>
      </c>
      <c r="G84" s="15">
        <v>6978.0</v>
      </c>
      <c r="H84" s="15">
        <v>11297.0</v>
      </c>
      <c r="I84" s="15">
        <v>370.0</v>
      </c>
      <c r="J84" s="15">
        <v>49.0</v>
      </c>
      <c r="K84" s="17">
        <v>3.2752058068513765</v>
      </c>
      <c r="L84" s="15">
        <v>120.0</v>
      </c>
      <c r="M84" s="15">
        <v>202.0</v>
      </c>
      <c r="N84" s="15">
        <v>135.0</v>
      </c>
      <c r="O84" s="15">
        <v>467.0</v>
      </c>
      <c r="P84" s="17">
        <v>332.0</v>
      </c>
      <c r="Q84" s="15">
        <v>41.0</v>
      </c>
      <c r="R84" s="15">
        <v>11.33</v>
      </c>
      <c r="S84" s="19">
        <v>0.11711320598693459</v>
      </c>
      <c r="T84" s="15">
        <v>96.744</v>
      </c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>
      <c r="A85" s="24" t="s">
        <v>31</v>
      </c>
      <c r="B85" s="15" t="s">
        <v>196</v>
      </c>
      <c r="C85" s="15" t="s">
        <v>196</v>
      </c>
      <c r="D85" s="15" t="s">
        <v>148</v>
      </c>
      <c r="E85" s="16">
        <v>45991.0</v>
      </c>
      <c r="F85" s="15" t="s">
        <v>85</v>
      </c>
      <c r="G85" s="15">
        <v>7039.0</v>
      </c>
      <c r="H85" s="15">
        <v>5343.0</v>
      </c>
      <c r="I85" s="15">
        <v>509.0</v>
      </c>
      <c r="J85" s="15">
        <v>135.0</v>
      </c>
      <c r="K85" s="17">
        <v>9.526483249110987</v>
      </c>
      <c r="L85" s="15">
        <v>120.0</v>
      </c>
      <c r="M85" s="15">
        <v>200.0</v>
      </c>
      <c r="N85" s="15">
        <v>141.0</v>
      </c>
      <c r="O85" s="15">
        <v>455.0</v>
      </c>
      <c r="P85" s="17">
        <v>314.0</v>
      </c>
      <c r="Q85" s="15">
        <v>42.0</v>
      </c>
      <c r="R85" s="15">
        <v>8.215</v>
      </c>
      <c r="S85" s="19">
        <v>0.08128512625662947</v>
      </c>
      <c r="T85" s="15">
        <v>101.064</v>
      </c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>
      <c r="A86" s="24" t="s">
        <v>31</v>
      </c>
      <c r="B86" s="15" t="s">
        <v>197</v>
      </c>
      <c r="C86" s="15" t="s">
        <v>197</v>
      </c>
      <c r="D86" s="15" t="s">
        <v>64</v>
      </c>
      <c r="E86" s="16">
        <v>45956.0</v>
      </c>
      <c r="F86" s="15" t="s">
        <v>85</v>
      </c>
      <c r="G86" s="15">
        <v>7004.0</v>
      </c>
      <c r="H86" s="15">
        <v>5640.0</v>
      </c>
      <c r="I86" s="15">
        <v>579.0</v>
      </c>
      <c r="J86" s="15">
        <v>57.0</v>
      </c>
      <c r="K86" s="17">
        <v>10.26595744680851</v>
      </c>
      <c r="L86" s="15">
        <v>120.0</v>
      </c>
      <c r="M86" s="15">
        <v>195.0</v>
      </c>
      <c r="N86" s="15">
        <v>116.0</v>
      </c>
      <c r="O86" s="15">
        <v>454.0</v>
      </c>
      <c r="P86" s="17">
        <v>338.0</v>
      </c>
      <c r="Q86" s="15">
        <v>48.0</v>
      </c>
      <c r="R86" s="15">
        <v>8.0</v>
      </c>
      <c r="S86" s="19">
        <v>0.07925186241876683</v>
      </c>
      <c r="T86" s="15">
        <v>100.944</v>
      </c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>
      <c r="A87" s="27" t="s">
        <v>33</v>
      </c>
      <c r="B87" s="15" t="s">
        <v>198</v>
      </c>
      <c r="C87" s="15" t="s">
        <v>198</v>
      </c>
      <c r="D87" s="15" t="s">
        <v>199</v>
      </c>
      <c r="E87" s="16">
        <v>45987.0</v>
      </c>
      <c r="F87" s="15" t="s">
        <v>85</v>
      </c>
      <c r="G87" s="15">
        <v>3927.0</v>
      </c>
      <c r="H87" s="15">
        <v>14115.0</v>
      </c>
      <c r="I87" s="15">
        <v>947.0</v>
      </c>
      <c r="J87" s="15">
        <v>179.0</v>
      </c>
      <c r="K87" s="17">
        <v>6.709174636911087</v>
      </c>
      <c r="L87" s="15">
        <v>120.0</v>
      </c>
      <c r="M87" s="15">
        <v>230.0</v>
      </c>
      <c r="N87" s="15">
        <v>171.0</v>
      </c>
      <c r="O87" s="15">
        <v>379.0</v>
      </c>
      <c r="P87" s="17">
        <v>208.0</v>
      </c>
      <c r="Q87" s="15">
        <v>44.0</v>
      </c>
      <c r="R87" s="15">
        <v>3.95</v>
      </c>
      <c r="S87" s="19">
        <v>0.03526533819012928</v>
      </c>
      <c r="T87" s="15">
        <v>112.008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>
      <c r="A88" s="27" t="s">
        <v>33</v>
      </c>
      <c r="B88" s="15" t="s">
        <v>200</v>
      </c>
      <c r="C88" s="15" t="s">
        <v>200</v>
      </c>
      <c r="D88" s="15" t="s">
        <v>201</v>
      </c>
      <c r="E88" s="38">
        <v>45994.0</v>
      </c>
      <c r="F88" s="15" t="s">
        <v>85</v>
      </c>
      <c r="G88" s="15">
        <v>3934.0</v>
      </c>
      <c r="H88" s="15">
        <v>8589.0</v>
      </c>
      <c r="I88" s="15">
        <v>610.0</v>
      </c>
      <c r="J88" s="15">
        <v>67.0</v>
      </c>
      <c r="K88" s="17">
        <v>7.1021073466061235</v>
      </c>
      <c r="L88" s="15">
        <v>120.0</v>
      </c>
      <c r="M88" s="15">
        <v>219.0</v>
      </c>
      <c r="N88" s="15">
        <v>101.0</v>
      </c>
      <c r="O88" s="15">
        <v>495.0</v>
      </c>
      <c r="P88" s="17">
        <v>394.0</v>
      </c>
      <c r="Q88" s="15">
        <v>45.0</v>
      </c>
      <c r="R88" s="15">
        <v>4.005</v>
      </c>
      <c r="S88" s="19">
        <v>0.034294081381011095</v>
      </c>
      <c r="T88" s="15">
        <v>116.784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>
      <c r="A89" s="27" t="s">
        <v>33</v>
      </c>
      <c r="B89" s="15" t="s">
        <v>202</v>
      </c>
      <c r="C89" s="15" t="s">
        <v>202</v>
      </c>
      <c r="D89" s="15" t="s">
        <v>203</v>
      </c>
      <c r="E89" s="38">
        <v>45969.0</v>
      </c>
      <c r="F89" s="15" t="s">
        <v>85</v>
      </c>
      <c r="G89" s="15">
        <v>3909.0</v>
      </c>
      <c r="H89" s="15">
        <v>11746.0</v>
      </c>
      <c r="I89" s="15">
        <v>799.0</v>
      </c>
      <c r="J89" s="15">
        <v>36.0</v>
      </c>
      <c r="K89" s="17">
        <v>6.802315681934276</v>
      </c>
      <c r="L89" s="15">
        <v>120.0</v>
      </c>
      <c r="M89" s="15">
        <v>204.0</v>
      </c>
      <c r="N89" s="15">
        <v>100.0</v>
      </c>
      <c r="O89" s="15">
        <v>454.0</v>
      </c>
      <c r="P89" s="17">
        <v>354.0</v>
      </c>
      <c r="Q89" s="15">
        <v>39.0</v>
      </c>
      <c r="R89" s="15">
        <v>6.04</v>
      </c>
      <c r="S89" s="19">
        <v>0.055822550831793494</v>
      </c>
      <c r="T89" s="15">
        <v>108.199999999999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>
      <c r="A90" s="27" t="s">
        <v>33</v>
      </c>
      <c r="B90" s="15" t="s">
        <v>204</v>
      </c>
      <c r="C90" s="15" t="s">
        <v>204</v>
      </c>
      <c r="D90" s="15" t="s">
        <v>153</v>
      </c>
      <c r="E90" s="38">
        <v>45983.0</v>
      </c>
      <c r="F90" s="15" t="s">
        <v>85</v>
      </c>
      <c r="G90" s="15">
        <v>3923.0</v>
      </c>
      <c r="H90" s="15">
        <v>10021.0</v>
      </c>
      <c r="I90" s="15">
        <v>762.0</v>
      </c>
      <c r="J90" s="15">
        <v>55.0</v>
      </c>
      <c r="K90" s="17">
        <v>7.604031533779064</v>
      </c>
      <c r="L90" s="15">
        <v>120.0</v>
      </c>
      <c r="M90" s="15">
        <v>218.0</v>
      </c>
      <c r="N90" s="15">
        <v>108.0</v>
      </c>
      <c r="O90" s="15">
        <v>390.0</v>
      </c>
      <c r="P90" s="17">
        <v>282.0</v>
      </c>
      <c r="Q90" s="15">
        <v>39.0</v>
      </c>
      <c r="R90" s="15">
        <v>5.05</v>
      </c>
      <c r="S90" s="19">
        <v>0.04392220985249096</v>
      </c>
      <c r="T90" s="15">
        <v>114.976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>
      <c r="A91" s="27" t="s">
        <v>33</v>
      </c>
      <c r="B91" s="15" t="s">
        <v>205</v>
      </c>
      <c r="C91" s="15" t="s">
        <v>205</v>
      </c>
      <c r="D91" s="15" t="s">
        <v>193</v>
      </c>
      <c r="E91" s="38">
        <v>45980.0</v>
      </c>
      <c r="F91" s="15" t="s">
        <v>85</v>
      </c>
      <c r="G91" s="15">
        <v>3920.0</v>
      </c>
      <c r="H91" s="15">
        <v>10138.0</v>
      </c>
      <c r="I91" s="15">
        <v>717.0</v>
      </c>
      <c r="J91" s="15">
        <v>42.0</v>
      </c>
      <c r="K91" s="17">
        <v>7.0724008680213055</v>
      </c>
      <c r="L91" s="15">
        <v>120.0</v>
      </c>
      <c r="M91" s="15">
        <v>201.0</v>
      </c>
      <c r="N91" s="15">
        <v>101.0</v>
      </c>
      <c r="O91" s="15">
        <v>512.0</v>
      </c>
      <c r="P91" s="17">
        <v>411.0</v>
      </c>
      <c r="Q91" s="15">
        <v>39.0</v>
      </c>
      <c r="R91" s="15">
        <v>2.67</v>
      </c>
      <c r="S91" s="19">
        <v>0.023911018770597505</v>
      </c>
      <c r="T91" s="15">
        <v>111.664</v>
      </c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>
      <c r="A92" s="24" t="s">
        <v>35</v>
      </c>
      <c r="B92" s="15" t="s">
        <v>206</v>
      </c>
      <c r="C92" s="15" t="s">
        <v>206</v>
      </c>
      <c r="D92" s="15" t="s">
        <v>92</v>
      </c>
      <c r="E92" s="16">
        <v>45695.0</v>
      </c>
      <c r="F92" s="15" t="s">
        <v>85</v>
      </c>
      <c r="G92" s="15">
        <v>5829.0</v>
      </c>
      <c r="H92" s="15">
        <v>4603.0</v>
      </c>
      <c r="I92" s="15">
        <v>379.0</v>
      </c>
      <c r="J92" s="15">
        <v>34.0</v>
      </c>
      <c r="K92" s="17">
        <v>8.233760590918966</v>
      </c>
      <c r="L92" s="15">
        <v>120.0</v>
      </c>
      <c r="M92" s="15">
        <v>225.0</v>
      </c>
      <c r="N92" s="15">
        <v>102.0</v>
      </c>
      <c r="O92" s="15">
        <v>451.0</v>
      </c>
      <c r="P92" s="17">
        <v>349.0</v>
      </c>
      <c r="Q92" s="15">
        <v>45.0</v>
      </c>
      <c r="R92" s="15">
        <v>12.345</v>
      </c>
      <c r="S92" s="19">
        <v>0.11816563289685275</v>
      </c>
      <c r="T92" s="15">
        <v>104.472</v>
      </c>
    </row>
    <row r="93">
      <c r="A93" s="24" t="s">
        <v>35</v>
      </c>
      <c r="B93" s="15" t="s">
        <v>206</v>
      </c>
      <c r="C93" s="15" t="s">
        <v>206</v>
      </c>
      <c r="D93" s="15" t="s">
        <v>186</v>
      </c>
      <c r="E93" s="16">
        <v>45695.0</v>
      </c>
      <c r="F93" s="15" t="s">
        <v>85</v>
      </c>
      <c r="G93" s="15">
        <v>5829.0</v>
      </c>
      <c r="H93" s="15">
        <v>4603.0</v>
      </c>
      <c r="I93" s="15">
        <v>379.0</v>
      </c>
      <c r="J93" s="15">
        <v>34.0</v>
      </c>
      <c r="K93" s="17">
        <v>8.233760590918966</v>
      </c>
      <c r="L93" s="15">
        <v>120.0</v>
      </c>
      <c r="M93" s="15">
        <v>185.0</v>
      </c>
      <c r="N93" s="15">
        <v>110.0</v>
      </c>
      <c r="O93" s="15">
        <v>361.0</v>
      </c>
      <c r="P93" s="17">
        <v>251.0</v>
      </c>
      <c r="Q93" s="15">
        <v>35.0</v>
      </c>
      <c r="R93" s="15">
        <v>16.465</v>
      </c>
      <c r="S93" s="19">
        <v>0.1482371794871795</v>
      </c>
      <c r="T93" s="15">
        <v>111.072</v>
      </c>
    </row>
    <row r="94">
      <c r="A94" s="24" t="s">
        <v>35</v>
      </c>
      <c r="B94" s="15" t="s">
        <v>207</v>
      </c>
      <c r="C94" s="15" t="s">
        <v>207</v>
      </c>
      <c r="D94" s="15" t="s">
        <v>73</v>
      </c>
      <c r="E94" s="16">
        <v>45670.0</v>
      </c>
      <c r="F94" s="15" t="s">
        <v>85</v>
      </c>
      <c r="G94" s="15">
        <v>5804.0</v>
      </c>
      <c r="H94" s="15">
        <v>10035.0</v>
      </c>
      <c r="I94" s="15">
        <v>1170.0</v>
      </c>
      <c r="J94" s="15">
        <v>186.0</v>
      </c>
      <c r="K94" s="17">
        <v>11.659192825112108</v>
      </c>
      <c r="L94" s="15">
        <v>120.0</v>
      </c>
      <c r="M94" s="15">
        <v>233.0</v>
      </c>
      <c r="N94" s="15">
        <v>111.0</v>
      </c>
      <c r="O94" s="15">
        <v>439.0</v>
      </c>
      <c r="P94" s="17">
        <v>328.0</v>
      </c>
      <c r="Q94" s="15">
        <v>43.0</v>
      </c>
      <c r="R94" s="15">
        <v>12.185</v>
      </c>
      <c r="S94" s="19">
        <v>0.11986503502006887</v>
      </c>
      <c r="T94" s="15">
        <v>101.655999999999</v>
      </c>
    </row>
    <row r="95">
      <c r="A95" s="24" t="s">
        <v>35</v>
      </c>
      <c r="B95" s="15" t="s">
        <v>208</v>
      </c>
      <c r="C95" s="15" t="s">
        <v>208</v>
      </c>
      <c r="D95" s="15" t="s">
        <v>125</v>
      </c>
      <c r="E95" s="16">
        <v>45692.0</v>
      </c>
      <c r="F95" s="15" t="s">
        <v>85</v>
      </c>
      <c r="G95" s="15">
        <v>5826.0</v>
      </c>
      <c r="H95" s="15">
        <v>11246.0</v>
      </c>
      <c r="I95" s="15">
        <v>1014.0</v>
      </c>
      <c r="J95" s="15">
        <v>158.0</v>
      </c>
      <c r="K95" s="17">
        <v>9.016539213942735</v>
      </c>
      <c r="L95" s="15">
        <v>120.0</v>
      </c>
      <c r="M95" s="15">
        <v>221.0</v>
      </c>
      <c r="N95" s="15">
        <v>155.0</v>
      </c>
      <c r="O95" s="15">
        <v>440.0</v>
      </c>
      <c r="P95" s="17">
        <v>285.0</v>
      </c>
      <c r="Q95" s="15">
        <v>40.0</v>
      </c>
      <c r="R95" s="15">
        <v>11.92</v>
      </c>
      <c r="S95" s="19">
        <v>0.11230873596140802</v>
      </c>
      <c r="T95" s="15">
        <v>106.136</v>
      </c>
    </row>
    <row r="96">
      <c r="A96" s="24" t="s">
        <v>35</v>
      </c>
      <c r="B96" s="15" t="s">
        <v>208</v>
      </c>
      <c r="C96" s="15" t="s">
        <v>208</v>
      </c>
      <c r="D96" s="15" t="s">
        <v>153</v>
      </c>
      <c r="E96" s="16">
        <v>45692.0</v>
      </c>
      <c r="F96" s="15" t="s">
        <v>85</v>
      </c>
      <c r="G96" s="15">
        <v>5826.0</v>
      </c>
      <c r="H96" s="15">
        <v>11246.0</v>
      </c>
      <c r="I96" s="15">
        <v>1014.0</v>
      </c>
      <c r="J96" s="15">
        <v>158.0</v>
      </c>
      <c r="K96" s="17">
        <v>9.016539213942735</v>
      </c>
      <c r="L96" s="15">
        <v>120.0</v>
      </c>
      <c r="M96" s="15">
        <v>218.0</v>
      </c>
      <c r="N96" s="15">
        <v>154.0</v>
      </c>
      <c r="O96" s="15">
        <v>402.0</v>
      </c>
      <c r="P96" s="17">
        <v>248.0</v>
      </c>
      <c r="Q96" s="15">
        <v>37.0</v>
      </c>
      <c r="R96" s="15">
        <v>12.82</v>
      </c>
      <c r="S96" s="19">
        <v>0.12296654389195943</v>
      </c>
      <c r="T96" s="15">
        <v>104.255999999999</v>
      </c>
    </row>
    <row r="97">
      <c r="A97" s="27" t="s">
        <v>37</v>
      </c>
      <c r="B97" s="15" t="s">
        <v>209</v>
      </c>
      <c r="C97" s="15" t="s">
        <v>209</v>
      </c>
      <c r="D97" s="15" t="s">
        <v>183</v>
      </c>
      <c r="E97" s="16">
        <v>45826.0</v>
      </c>
      <c r="F97" s="15" t="s">
        <v>85</v>
      </c>
      <c r="G97" s="15">
        <v>4921.0</v>
      </c>
      <c r="H97" s="15">
        <v>275.0</v>
      </c>
      <c r="I97" s="15">
        <v>23.0</v>
      </c>
      <c r="J97" s="15">
        <v>13.0</v>
      </c>
      <c r="K97" s="17">
        <v>8.363636363636363</v>
      </c>
      <c r="L97" s="15">
        <v>120.0</v>
      </c>
      <c r="M97" s="15">
        <v>193.0</v>
      </c>
      <c r="N97" s="15">
        <v>96.0</v>
      </c>
      <c r="O97" s="15">
        <v>409.0</v>
      </c>
      <c r="P97" s="17">
        <v>313.0</v>
      </c>
      <c r="Q97" s="15">
        <v>30.0</v>
      </c>
      <c r="R97" s="15">
        <v>7.415</v>
      </c>
      <c r="S97" s="19">
        <v>0.06612506242419977</v>
      </c>
      <c r="T97" s="15">
        <v>112.135999999999</v>
      </c>
    </row>
    <row r="98">
      <c r="A98" s="27" t="s">
        <v>37</v>
      </c>
      <c r="B98" s="15" t="s">
        <v>209</v>
      </c>
      <c r="C98" s="15" t="s">
        <v>209</v>
      </c>
      <c r="D98" s="15" t="s">
        <v>210</v>
      </c>
      <c r="E98" s="16">
        <v>45826.0</v>
      </c>
      <c r="F98" s="15" t="s">
        <v>85</v>
      </c>
      <c r="G98" s="15">
        <v>4921.0</v>
      </c>
      <c r="H98" s="15">
        <v>274.0</v>
      </c>
      <c r="I98" s="15">
        <v>23.0</v>
      </c>
      <c r="J98" s="15">
        <v>13.0</v>
      </c>
      <c r="K98" s="17">
        <v>8.394160583941606</v>
      </c>
      <c r="L98" s="15">
        <v>120.0</v>
      </c>
      <c r="M98" s="15">
        <v>203.0</v>
      </c>
      <c r="N98" s="15">
        <v>90.0</v>
      </c>
      <c r="O98" s="15">
        <v>421.0</v>
      </c>
      <c r="P98" s="17">
        <v>331.0</v>
      </c>
      <c r="Q98" s="15">
        <v>35.0</v>
      </c>
      <c r="R98" s="15">
        <v>7.85</v>
      </c>
      <c r="S98" s="19">
        <v>0.07122894889663246</v>
      </c>
      <c r="T98" s="15">
        <v>110.207999999999</v>
      </c>
    </row>
    <row r="99">
      <c r="A99" s="27" t="s">
        <v>37</v>
      </c>
      <c r="B99" s="15" t="s">
        <v>211</v>
      </c>
      <c r="C99" s="15" t="s">
        <v>211</v>
      </c>
      <c r="D99" s="15" t="s">
        <v>92</v>
      </c>
      <c r="E99" s="16">
        <v>45877.0</v>
      </c>
      <c r="F99" s="15" t="s">
        <v>85</v>
      </c>
      <c r="G99" s="15">
        <v>4973.0</v>
      </c>
      <c r="H99" s="15">
        <v>527.0</v>
      </c>
      <c r="I99" s="15">
        <v>31.0</v>
      </c>
      <c r="J99" s="15">
        <v>23.0</v>
      </c>
      <c r="K99" s="17">
        <v>5.88235294117647</v>
      </c>
      <c r="L99" s="15">
        <v>120.0</v>
      </c>
      <c r="M99" s="15">
        <v>199.0</v>
      </c>
      <c r="N99" s="15">
        <v>102.0</v>
      </c>
      <c r="O99" s="15">
        <v>381.0</v>
      </c>
      <c r="P99" s="17">
        <v>279.0</v>
      </c>
      <c r="Q99" s="15">
        <v>36.0</v>
      </c>
      <c r="R99" s="15">
        <v>15.36</v>
      </c>
      <c r="S99" s="19">
        <v>0.1368593627485922</v>
      </c>
      <c r="T99" s="15">
        <v>112.232</v>
      </c>
    </row>
    <row r="100">
      <c r="A100" s="27" t="s">
        <v>37</v>
      </c>
      <c r="B100" s="15" t="s">
        <v>211</v>
      </c>
      <c r="C100" s="15" t="s">
        <v>211</v>
      </c>
      <c r="D100" s="15" t="s">
        <v>212</v>
      </c>
      <c r="E100" s="16">
        <v>45877.0</v>
      </c>
      <c r="F100" s="15" t="s">
        <v>85</v>
      </c>
      <c r="G100" s="15">
        <v>4973.0</v>
      </c>
      <c r="H100" s="15">
        <v>527.0</v>
      </c>
      <c r="I100" s="15">
        <v>31.0</v>
      </c>
      <c r="J100" s="15">
        <v>23.0</v>
      </c>
      <c r="K100" s="17">
        <v>5.88235294117647</v>
      </c>
      <c r="L100" s="15">
        <v>120.0</v>
      </c>
      <c r="M100" s="15">
        <v>204.0</v>
      </c>
      <c r="N100" s="15">
        <v>100.0</v>
      </c>
      <c r="O100" s="15">
        <v>333.0</v>
      </c>
      <c r="P100" s="17">
        <v>233.0</v>
      </c>
      <c r="Q100" s="15">
        <v>40.0</v>
      </c>
      <c r="R100" s="15">
        <v>19.22</v>
      </c>
      <c r="S100" s="19">
        <v>0.176667402014854</v>
      </c>
      <c r="T100" s="15">
        <v>108.792</v>
      </c>
    </row>
    <row r="101">
      <c r="A101" s="27" t="s">
        <v>37</v>
      </c>
      <c r="B101" s="15" t="s">
        <v>213</v>
      </c>
      <c r="C101" s="15" t="s">
        <v>213</v>
      </c>
      <c r="D101" s="15" t="s">
        <v>94</v>
      </c>
      <c r="E101" s="16">
        <v>45865.0</v>
      </c>
      <c r="F101" s="15" t="s">
        <v>85</v>
      </c>
      <c r="G101" s="15">
        <v>4960.0</v>
      </c>
      <c r="H101" s="15">
        <v>568.0</v>
      </c>
      <c r="I101" s="15">
        <v>42.0</v>
      </c>
      <c r="J101" s="15">
        <v>13.0</v>
      </c>
      <c r="K101" s="17">
        <v>7.394366197183098</v>
      </c>
      <c r="L101" s="15">
        <v>120.0</v>
      </c>
      <c r="M101" s="15">
        <v>202.0</v>
      </c>
      <c r="N101" s="15">
        <v>101.0</v>
      </c>
      <c r="O101" s="15">
        <v>400.0</v>
      </c>
      <c r="P101" s="17">
        <v>299.0</v>
      </c>
      <c r="Q101" s="15">
        <v>33.0</v>
      </c>
      <c r="R101" s="15">
        <v>9.8</v>
      </c>
      <c r="S101" s="19">
        <v>0.08512264609825586</v>
      </c>
      <c r="T101" s="15">
        <v>115.128</v>
      </c>
    </row>
  </sheetData>
  <autoFilter ref="$A$1:$T$101">
    <sortState ref="A1:T101">
      <sortCondition ref="F1:F101"/>
    </sortState>
  </autoFilter>
  <dataValidations>
    <dataValidation type="custom" allowBlank="1" showDropDown="1" sqref="X26:AB49">
      <formula1>AND(ISNUMBER(X26),(NOT(OR(NOT(ISERROR(DATEVALUE(X26))), AND(ISNUMBER(X26), LEFT(CELL("format", X26))="D")))))</formula1>
    </dataValidation>
    <dataValidation type="list" allowBlank="1" showDropDown="1" showErrorMessage="1" sqref="W26:W49">
      <formula1>"Early,Late"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22.63"/>
    <col customWidth="1" min="2" max="16" width="22.63"/>
    <col customWidth="1" min="17" max="17" width="25.13"/>
    <col customWidth="1" min="18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149</v>
      </c>
      <c r="B2" s="8" t="str">
        <f t="shared" ref="B2:B11" si="1">HYPERLINK("https://www.youtube.com/watch?v="&amp;A2, A2)</f>
        <v>22ebdZGPzNw</v>
      </c>
      <c r="C2" s="5" t="s">
        <v>150</v>
      </c>
      <c r="D2" s="48">
        <v>45980.0</v>
      </c>
      <c r="E2" s="5">
        <v>4579.0</v>
      </c>
      <c r="F2" s="5">
        <v>106972.0</v>
      </c>
      <c r="G2" s="5">
        <v>5912.0</v>
      </c>
      <c r="H2" s="5">
        <v>134.0</v>
      </c>
      <c r="I2" s="49">
        <f t="shared" ref="I2:I11" si="2">(G2/F2)*100</f>
        <v>5.526679879</v>
      </c>
      <c r="J2" s="5">
        <v>120.0</v>
      </c>
      <c r="K2" s="5">
        <v>249.0</v>
      </c>
      <c r="L2" s="5">
        <v>100.0</v>
      </c>
      <c r="M2" s="5">
        <v>500.0</v>
      </c>
      <c r="N2" s="49">
        <f t="shared" ref="N2:N11" si="3">M2-L2</f>
        <v>400</v>
      </c>
      <c r="O2" s="5">
        <v>50.0</v>
      </c>
      <c r="P2" s="50">
        <v>1.10000000000005</v>
      </c>
      <c r="Q2" s="51">
        <f t="shared" ref="Q2:Q11" si="4">DIVIDE(P2,R2)</f>
        <v>0.009685144749</v>
      </c>
      <c r="R2" s="52">
        <v>113.575999999999</v>
      </c>
    </row>
    <row r="3" ht="22.5" customHeight="1">
      <c r="A3" s="5" t="s">
        <v>63</v>
      </c>
      <c r="B3" s="8" t="str">
        <f t="shared" si="1"/>
        <v>8N_XqvfQN-k</v>
      </c>
      <c r="C3" s="5" t="s">
        <v>64</v>
      </c>
      <c r="D3" s="48">
        <v>44472.0</v>
      </c>
      <c r="E3" s="5">
        <v>3071.0</v>
      </c>
      <c r="F3" s="5">
        <v>40654.0</v>
      </c>
      <c r="G3" s="5">
        <v>1987.0</v>
      </c>
      <c r="H3" s="5">
        <v>61.0</v>
      </c>
      <c r="I3" s="49">
        <f t="shared" si="2"/>
        <v>4.887587937</v>
      </c>
      <c r="J3" s="5">
        <v>120.0</v>
      </c>
      <c r="K3" s="5">
        <v>216.0</v>
      </c>
      <c r="L3" s="5">
        <v>109.0</v>
      </c>
      <c r="M3" s="5">
        <v>475.0</v>
      </c>
      <c r="N3" s="49">
        <f t="shared" si="3"/>
        <v>366</v>
      </c>
      <c r="O3" s="5">
        <v>27.0</v>
      </c>
      <c r="P3" s="53">
        <v>6.52499999999998</v>
      </c>
      <c r="Q3" s="51">
        <f t="shared" si="4"/>
        <v>0.05856429956</v>
      </c>
      <c r="R3" s="52">
        <v>111.416</v>
      </c>
    </row>
    <row r="4" ht="22.5" customHeight="1">
      <c r="A4" s="5" t="s">
        <v>151</v>
      </c>
      <c r="B4" s="8" t="str">
        <f t="shared" si="1"/>
        <v>feaZ1hzLTcU</v>
      </c>
      <c r="C4" s="5" t="s">
        <v>123</v>
      </c>
      <c r="D4" s="48">
        <v>45997.0</v>
      </c>
      <c r="E4" s="5">
        <v>4596.0</v>
      </c>
      <c r="F4" s="5">
        <v>36861.0</v>
      </c>
      <c r="G4" s="5">
        <v>2813.0</v>
      </c>
      <c r="H4" s="5">
        <v>129.0</v>
      </c>
      <c r="I4" s="49">
        <f t="shared" si="2"/>
        <v>7.631371911</v>
      </c>
      <c r="J4" s="5">
        <v>120.0</v>
      </c>
      <c r="K4" s="5">
        <v>228.0</v>
      </c>
      <c r="L4" s="5">
        <v>91.0</v>
      </c>
      <c r="M4" s="5">
        <v>434.0</v>
      </c>
      <c r="N4" s="49">
        <f t="shared" si="3"/>
        <v>343</v>
      </c>
      <c r="O4" s="5">
        <v>42.0</v>
      </c>
      <c r="P4" s="50">
        <v>3.29500000000008</v>
      </c>
      <c r="Q4" s="51">
        <f t="shared" si="4"/>
        <v>0.03064774165</v>
      </c>
      <c r="R4" s="52">
        <v>107.512</v>
      </c>
    </row>
    <row r="5" ht="22.5" customHeight="1">
      <c r="A5" s="5" t="s">
        <v>66</v>
      </c>
      <c r="B5" s="8" t="str">
        <f t="shared" si="1"/>
        <v>jGs5w3cov7A</v>
      </c>
      <c r="C5" s="5" t="s">
        <v>67</v>
      </c>
      <c r="D5" s="48">
        <v>44456.0</v>
      </c>
      <c r="E5" s="5">
        <v>3055.0</v>
      </c>
      <c r="F5" s="5">
        <v>96870.0</v>
      </c>
      <c r="G5" s="5">
        <v>3648.0</v>
      </c>
      <c r="H5" s="5">
        <v>118.0</v>
      </c>
      <c r="I5" s="49">
        <f t="shared" si="2"/>
        <v>3.765871787</v>
      </c>
      <c r="J5" s="5">
        <v>120.0</v>
      </c>
      <c r="K5" s="5">
        <v>226.0</v>
      </c>
      <c r="L5" s="5">
        <v>104.0</v>
      </c>
      <c r="M5" s="5">
        <v>392.0</v>
      </c>
      <c r="N5" s="49">
        <f t="shared" si="3"/>
        <v>288</v>
      </c>
      <c r="O5" s="5">
        <v>35.0</v>
      </c>
      <c r="P5" s="53">
        <v>8.09000000000009</v>
      </c>
      <c r="Q5" s="51">
        <f t="shared" si="4"/>
        <v>0.07482980613</v>
      </c>
      <c r="R5" s="52">
        <v>108.111999999999</v>
      </c>
    </row>
    <row r="6" ht="22.5" customHeight="1">
      <c r="A6" s="5" t="s">
        <v>152</v>
      </c>
      <c r="B6" s="8" t="str">
        <f t="shared" si="1"/>
        <v>JKLp5hCxUiA</v>
      </c>
      <c r="C6" s="5" t="s">
        <v>153</v>
      </c>
      <c r="D6" s="48">
        <v>45962.0</v>
      </c>
      <c r="E6" s="5">
        <v>4561.0</v>
      </c>
      <c r="F6" s="5">
        <v>128578.0</v>
      </c>
      <c r="G6" s="5">
        <v>6289.0</v>
      </c>
      <c r="H6" s="5">
        <v>149.0</v>
      </c>
      <c r="I6" s="49">
        <f t="shared" si="2"/>
        <v>4.89119445</v>
      </c>
      <c r="J6" s="5">
        <v>120.0</v>
      </c>
      <c r="K6" s="5">
        <v>231.0</v>
      </c>
      <c r="L6" s="5">
        <v>103.0</v>
      </c>
      <c r="M6" s="5">
        <v>386.0</v>
      </c>
      <c r="N6" s="49">
        <f t="shared" si="3"/>
        <v>283</v>
      </c>
      <c r="O6" s="5">
        <v>25.0</v>
      </c>
      <c r="P6" s="50">
        <v>2.80500000000003</v>
      </c>
      <c r="Q6" s="51">
        <f t="shared" si="4"/>
        <v>0.02435064935</v>
      </c>
      <c r="R6" s="52">
        <v>115.191999999999</v>
      </c>
    </row>
    <row r="7" ht="22.5" customHeight="1">
      <c r="A7" s="5" t="s">
        <v>68</v>
      </c>
      <c r="B7" s="8" t="str">
        <f t="shared" si="1"/>
        <v>jsRcVxG3Z4s</v>
      </c>
      <c r="C7" s="5" t="s">
        <v>69</v>
      </c>
      <c r="D7" s="48">
        <v>44556.0</v>
      </c>
      <c r="E7" s="5">
        <v>3155.0</v>
      </c>
      <c r="F7" s="5">
        <v>43359.0</v>
      </c>
      <c r="G7" s="5">
        <v>2258.0</v>
      </c>
      <c r="H7" s="5">
        <v>86.0</v>
      </c>
      <c r="I7" s="49">
        <f t="shared" si="2"/>
        <v>5.207684679</v>
      </c>
      <c r="J7" s="5">
        <v>120.0</v>
      </c>
      <c r="K7" s="5">
        <v>215.0</v>
      </c>
      <c r="L7" s="5">
        <v>100.0</v>
      </c>
      <c r="M7" s="5">
        <v>334.0</v>
      </c>
      <c r="N7" s="49">
        <f t="shared" si="3"/>
        <v>234</v>
      </c>
      <c r="O7" s="5">
        <v>21.0</v>
      </c>
      <c r="P7" s="53">
        <v>10.27</v>
      </c>
      <c r="Q7" s="51">
        <f t="shared" si="4"/>
        <v>0.09345879441</v>
      </c>
      <c r="R7" s="52">
        <v>109.887999999999</v>
      </c>
    </row>
    <row r="8" ht="22.5" customHeight="1">
      <c r="A8" s="5" t="s">
        <v>154</v>
      </c>
      <c r="B8" s="8" t="str">
        <f t="shared" si="1"/>
        <v>KqG71rk3dZM</v>
      </c>
      <c r="C8" s="5" t="s">
        <v>79</v>
      </c>
      <c r="D8" s="48">
        <v>45995.0</v>
      </c>
      <c r="E8" s="5">
        <v>4594.0</v>
      </c>
      <c r="F8" s="5">
        <v>52841.0</v>
      </c>
      <c r="G8" s="5">
        <v>3883.0</v>
      </c>
      <c r="H8" s="5">
        <v>123.0</v>
      </c>
      <c r="I8" s="49">
        <f t="shared" si="2"/>
        <v>7.348460476</v>
      </c>
      <c r="J8" s="5">
        <v>120.0</v>
      </c>
      <c r="K8" s="5">
        <v>241.0</v>
      </c>
      <c r="L8" s="5">
        <v>100.0</v>
      </c>
      <c r="M8" s="5">
        <v>495.0</v>
      </c>
      <c r="N8" s="49">
        <f t="shared" si="3"/>
        <v>395</v>
      </c>
      <c r="O8" s="5">
        <v>49.0</v>
      </c>
      <c r="P8" s="50">
        <v>2.845</v>
      </c>
      <c r="Q8" s="51">
        <f t="shared" si="4"/>
        <v>0.02546727299</v>
      </c>
      <c r="R8" s="52">
        <v>111.712</v>
      </c>
    </row>
    <row r="9" ht="22.5" customHeight="1">
      <c r="A9" s="5" t="s">
        <v>70</v>
      </c>
      <c r="B9" s="8" t="str">
        <f t="shared" si="1"/>
        <v>o88firD4o4U</v>
      </c>
      <c r="C9" s="5" t="s">
        <v>71</v>
      </c>
      <c r="D9" s="48">
        <v>44526.0</v>
      </c>
      <c r="E9" s="5">
        <v>3125.0</v>
      </c>
      <c r="F9" s="5">
        <v>87920.0</v>
      </c>
      <c r="G9" s="5">
        <v>3397.0</v>
      </c>
      <c r="H9" s="5">
        <v>130.0</v>
      </c>
      <c r="I9" s="49">
        <f t="shared" si="2"/>
        <v>3.863739763</v>
      </c>
      <c r="J9" s="5">
        <v>120.0</v>
      </c>
      <c r="K9" s="5">
        <v>229.0</v>
      </c>
      <c r="L9" s="5">
        <v>101.0</v>
      </c>
      <c r="M9" s="5">
        <v>409.0</v>
      </c>
      <c r="N9" s="49">
        <f t="shared" si="3"/>
        <v>308</v>
      </c>
      <c r="O9" s="5">
        <v>30.0</v>
      </c>
      <c r="P9" s="53">
        <v>6.99000000000003</v>
      </c>
      <c r="Q9" s="51">
        <f t="shared" si="4"/>
        <v>0.0600185465</v>
      </c>
      <c r="R9" s="52">
        <v>116.463999999999</v>
      </c>
    </row>
    <row r="10" ht="22.5" customHeight="1">
      <c r="A10" s="5" t="s">
        <v>72</v>
      </c>
      <c r="B10" s="8" t="str">
        <f t="shared" si="1"/>
        <v>VRMTRZLoli8</v>
      </c>
      <c r="C10" s="5" t="s">
        <v>73</v>
      </c>
      <c r="D10" s="48">
        <v>44430.0</v>
      </c>
      <c r="E10" s="5">
        <v>3029.0</v>
      </c>
      <c r="F10" s="5">
        <v>79988.0</v>
      </c>
      <c r="G10" s="5">
        <v>2252.0</v>
      </c>
      <c r="H10" s="5">
        <v>76.0</v>
      </c>
      <c r="I10" s="49">
        <f t="shared" si="2"/>
        <v>2.815422313</v>
      </c>
      <c r="J10" s="5">
        <v>120.0</v>
      </c>
      <c r="K10" s="5">
        <v>203.0</v>
      </c>
      <c r="L10" s="5">
        <v>89.0</v>
      </c>
      <c r="M10" s="5">
        <v>392.0</v>
      </c>
      <c r="N10" s="49">
        <f t="shared" si="3"/>
        <v>303</v>
      </c>
      <c r="O10" s="5">
        <v>48.0</v>
      </c>
      <c r="P10" s="50">
        <v>12.6099999999999</v>
      </c>
      <c r="Q10" s="51">
        <f t="shared" si="4"/>
        <v>0.1106528607</v>
      </c>
      <c r="R10" s="52">
        <v>113.96</v>
      </c>
    </row>
    <row r="11" ht="22.5" customHeight="1">
      <c r="A11" s="5" t="s">
        <v>155</v>
      </c>
      <c r="B11" s="8" t="str">
        <f t="shared" si="1"/>
        <v>VyRNPiF-Kdc</v>
      </c>
      <c r="C11" s="5" t="s">
        <v>156</v>
      </c>
      <c r="D11" s="48">
        <v>45994.0</v>
      </c>
      <c r="E11" s="5">
        <v>4593.0</v>
      </c>
      <c r="F11" s="5">
        <v>63180.0</v>
      </c>
      <c r="G11" s="5">
        <v>3990.0</v>
      </c>
      <c r="H11" s="5">
        <v>119.0</v>
      </c>
      <c r="I11" s="49">
        <f t="shared" si="2"/>
        <v>6.315289649</v>
      </c>
      <c r="J11" s="5">
        <v>120.0</v>
      </c>
      <c r="K11" s="5">
        <v>235.0</v>
      </c>
      <c r="L11" s="5">
        <v>171.0</v>
      </c>
      <c r="M11" s="5">
        <v>479.0</v>
      </c>
      <c r="N11" s="49">
        <f t="shared" si="3"/>
        <v>308</v>
      </c>
      <c r="O11" s="5">
        <v>40.0</v>
      </c>
      <c r="P11" s="54">
        <v>1.13500000000001</v>
      </c>
      <c r="Q11" s="51">
        <f t="shared" si="4"/>
        <v>0.01035810761</v>
      </c>
      <c r="R11" s="52">
        <v>109.576</v>
      </c>
    </row>
  </sheetData>
  <dataValidations>
    <dataValidation type="custom" allowBlank="1" showDropDown="1" sqref="Q2:Q11">
      <formula1>AND(ISNUMBER(Q2),(NOT(OR(NOT(ISERROR(DATEVALUE(Q2))), AND(ISNUMBER(Q2), LEFT(CELL("format", Q2))="D")))))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157</v>
      </c>
      <c r="B2" s="8" t="str">
        <f t="shared" ref="B2:B11" si="1">HYPERLINK("https://www.youtube.com/watch?v="&amp;A2, A2)</f>
        <v>15BRcuewPSs</v>
      </c>
      <c r="C2" s="5" t="s">
        <v>111</v>
      </c>
      <c r="D2" s="48">
        <v>45576.0</v>
      </c>
      <c r="E2" s="5">
        <v>3908.0</v>
      </c>
      <c r="F2" s="5">
        <v>10843.0</v>
      </c>
      <c r="G2" s="5">
        <v>547.0</v>
      </c>
      <c r="H2" s="5">
        <v>53.0</v>
      </c>
      <c r="I2" s="49">
        <f t="shared" ref="I2:I11" si="2">(G2/F2)*100</f>
        <v>5.044729318</v>
      </c>
      <c r="J2" s="5">
        <v>120.0</v>
      </c>
      <c r="K2" s="5">
        <v>193.0</v>
      </c>
      <c r="L2" s="5">
        <v>105.0</v>
      </c>
      <c r="M2" s="5">
        <v>387.0</v>
      </c>
      <c r="N2" s="49">
        <f t="shared" ref="N2:N11" si="3">M2-L2</f>
        <v>282</v>
      </c>
      <c r="O2" s="5">
        <v>36.0</v>
      </c>
      <c r="P2" s="50">
        <v>7.91499999999999</v>
      </c>
      <c r="Q2" s="51">
        <f t="shared" ref="Q2:Q11" si="4">DIVIDE(P2,R2)</f>
        <v>0.0693519557</v>
      </c>
      <c r="R2" s="55">
        <v>114.128</v>
      </c>
    </row>
    <row r="3" ht="22.5" customHeight="1">
      <c r="A3" s="5" t="s">
        <v>158</v>
      </c>
      <c r="B3" s="8" t="str">
        <f t="shared" si="1"/>
        <v>5yvYnolI7uc</v>
      </c>
      <c r="C3" s="5" t="s">
        <v>159</v>
      </c>
      <c r="D3" s="48">
        <v>45566.0</v>
      </c>
      <c r="E3" s="5">
        <v>3898.0</v>
      </c>
      <c r="F3" s="5">
        <v>6378.0</v>
      </c>
      <c r="G3" s="5">
        <v>522.0</v>
      </c>
      <c r="H3" s="5">
        <v>32.0</v>
      </c>
      <c r="I3" s="49">
        <f t="shared" si="2"/>
        <v>8.184383819</v>
      </c>
      <c r="J3" s="5">
        <v>120.0</v>
      </c>
      <c r="K3" s="5">
        <v>191.0</v>
      </c>
      <c r="L3" s="5">
        <v>118.0</v>
      </c>
      <c r="M3" s="5">
        <v>401.0</v>
      </c>
      <c r="N3" s="49">
        <f t="shared" si="3"/>
        <v>283</v>
      </c>
      <c r="O3" s="5">
        <v>37.0</v>
      </c>
      <c r="P3" s="53">
        <v>7.69999999999988</v>
      </c>
      <c r="Q3" s="51">
        <f t="shared" si="4"/>
        <v>0.06710590532</v>
      </c>
      <c r="R3" s="55">
        <v>114.744</v>
      </c>
    </row>
    <row r="4" ht="22.5" customHeight="1">
      <c r="A4" s="5" t="s">
        <v>74</v>
      </c>
      <c r="B4" s="8" t="str">
        <f t="shared" si="1"/>
        <v>an-sPBcCN90</v>
      </c>
      <c r="C4" s="5" t="s">
        <v>75</v>
      </c>
      <c r="D4" s="48">
        <v>41786.0</v>
      </c>
      <c r="E4" s="5">
        <v>119.0</v>
      </c>
      <c r="F4" s="5">
        <v>7204.0</v>
      </c>
      <c r="G4" s="5">
        <v>262.0</v>
      </c>
      <c r="H4" s="5">
        <v>17.0</v>
      </c>
      <c r="I4" s="49">
        <f t="shared" si="2"/>
        <v>3.636868406</v>
      </c>
      <c r="J4" s="5">
        <v>120.0</v>
      </c>
      <c r="K4" s="5">
        <v>204.0</v>
      </c>
      <c r="L4" s="5">
        <v>103.0</v>
      </c>
      <c r="M4" s="5">
        <v>489.0</v>
      </c>
      <c r="N4" s="49">
        <f t="shared" si="3"/>
        <v>386</v>
      </c>
      <c r="O4" s="5">
        <v>46.0</v>
      </c>
      <c r="P4" s="50">
        <v>18.305</v>
      </c>
      <c r="Q4" s="51">
        <f t="shared" si="4"/>
        <v>0.1714336555</v>
      </c>
      <c r="R4" s="55">
        <v>106.776</v>
      </c>
    </row>
    <row r="5" ht="22.5" customHeight="1">
      <c r="A5" s="5" t="s">
        <v>160</v>
      </c>
      <c r="B5" s="8" t="str">
        <f t="shared" si="1"/>
        <v>eKWv0BN6Pl4</v>
      </c>
      <c r="C5" s="5" t="s">
        <v>92</v>
      </c>
      <c r="D5" s="48">
        <v>45360.0</v>
      </c>
      <c r="E5" s="5">
        <v>3692.0</v>
      </c>
      <c r="F5" s="5">
        <v>19183.0</v>
      </c>
      <c r="G5" s="5">
        <v>989.0</v>
      </c>
      <c r="H5" s="5">
        <v>44.0</v>
      </c>
      <c r="I5" s="49">
        <f t="shared" si="2"/>
        <v>5.155606527</v>
      </c>
      <c r="J5" s="5">
        <v>120.0</v>
      </c>
      <c r="K5" s="5">
        <v>222.0</v>
      </c>
      <c r="L5" s="5">
        <v>107.0</v>
      </c>
      <c r="M5" s="5">
        <v>423.0</v>
      </c>
      <c r="N5" s="49">
        <f t="shared" si="3"/>
        <v>316</v>
      </c>
      <c r="O5" s="5">
        <v>45.0</v>
      </c>
      <c r="P5" s="53">
        <v>9.25000000000002</v>
      </c>
      <c r="Q5" s="51">
        <f t="shared" si="4"/>
        <v>0.08047957124</v>
      </c>
      <c r="R5" s="55">
        <v>114.936</v>
      </c>
    </row>
    <row r="6" ht="22.5" customHeight="1">
      <c r="A6" s="5" t="s">
        <v>76</v>
      </c>
      <c r="B6" s="8" t="str">
        <f t="shared" si="1"/>
        <v>H3u4FUXe3hI</v>
      </c>
      <c r="C6" s="5" t="s">
        <v>77</v>
      </c>
      <c r="D6" s="48">
        <v>41791.0</v>
      </c>
      <c r="E6" s="5">
        <v>123.0</v>
      </c>
      <c r="F6" s="5">
        <v>8305.0</v>
      </c>
      <c r="G6" s="5">
        <v>229.0</v>
      </c>
      <c r="H6" s="5">
        <v>19.0</v>
      </c>
      <c r="I6" s="49">
        <f t="shared" si="2"/>
        <v>2.757375075</v>
      </c>
      <c r="J6" s="5">
        <v>120.0</v>
      </c>
      <c r="K6" s="5">
        <v>192.0</v>
      </c>
      <c r="L6" s="5">
        <v>92.0</v>
      </c>
      <c r="M6" s="5">
        <v>488.0</v>
      </c>
      <c r="N6" s="49">
        <f t="shared" si="3"/>
        <v>396</v>
      </c>
      <c r="O6" s="5">
        <v>38.0</v>
      </c>
      <c r="P6" s="50">
        <v>15.55</v>
      </c>
      <c r="Q6" s="51">
        <f t="shared" si="4"/>
        <v>0.1980588955</v>
      </c>
      <c r="R6" s="55">
        <v>78.512</v>
      </c>
    </row>
    <row r="7" ht="22.5" customHeight="1">
      <c r="A7" s="5" t="s">
        <v>78</v>
      </c>
      <c r="B7" s="8" t="str">
        <f t="shared" si="1"/>
        <v>qd514DduxRk</v>
      </c>
      <c r="C7" s="5" t="s">
        <v>79</v>
      </c>
      <c r="D7" s="48">
        <v>41811.0</v>
      </c>
      <c r="E7" s="5">
        <v>143.0</v>
      </c>
      <c r="F7" s="5">
        <v>5949.0</v>
      </c>
      <c r="G7" s="5">
        <v>195.0</v>
      </c>
      <c r="H7" s="5">
        <v>21.0</v>
      </c>
      <c r="I7" s="49">
        <f t="shared" si="2"/>
        <v>3.277861826</v>
      </c>
      <c r="J7" s="5">
        <v>120.0</v>
      </c>
      <c r="K7" s="5">
        <v>206.0</v>
      </c>
      <c r="L7" s="5">
        <v>131.0</v>
      </c>
      <c r="M7" s="5">
        <v>283.0</v>
      </c>
      <c r="N7" s="49">
        <f t="shared" si="3"/>
        <v>152</v>
      </c>
      <c r="O7" s="5">
        <v>18.0</v>
      </c>
      <c r="P7" s="53">
        <v>14.92</v>
      </c>
      <c r="Q7" s="51">
        <f t="shared" si="4"/>
        <v>0.1642014439</v>
      </c>
      <c r="R7" s="55">
        <v>90.864</v>
      </c>
    </row>
    <row r="8" ht="22.5" customHeight="1">
      <c r="A8" s="5" t="s">
        <v>161</v>
      </c>
      <c r="B8" s="8" t="str">
        <f t="shared" si="1"/>
        <v>rrMR0_PxzSY</v>
      </c>
      <c r="C8" s="5" t="s">
        <v>92</v>
      </c>
      <c r="D8" s="48">
        <v>45365.0</v>
      </c>
      <c r="E8" s="5">
        <v>3698.0</v>
      </c>
      <c r="F8" s="5">
        <v>8152.0</v>
      </c>
      <c r="G8" s="5">
        <v>528.0</v>
      </c>
      <c r="H8" s="5">
        <v>25.0</v>
      </c>
      <c r="I8" s="49">
        <f t="shared" si="2"/>
        <v>6.476938175</v>
      </c>
      <c r="J8" s="5">
        <v>120.0</v>
      </c>
      <c r="K8" s="5">
        <v>212.0</v>
      </c>
      <c r="L8" s="5">
        <v>99.0</v>
      </c>
      <c r="M8" s="5">
        <v>414.0</v>
      </c>
      <c r="N8" s="49">
        <f t="shared" si="3"/>
        <v>315</v>
      </c>
      <c r="O8" s="5">
        <v>42.0</v>
      </c>
      <c r="P8" s="50">
        <v>6.9</v>
      </c>
      <c r="Q8" s="51">
        <f t="shared" si="4"/>
        <v>0.06013386321</v>
      </c>
      <c r="R8" s="55">
        <v>114.744</v>
      </c>
    </row>
    <row r="9" ht="22.5" customHeight="1">
      <c r="A9" s="5" t="s">
        <v>162</v>
      </c>
      <c r="B9" s="8" t="str">
        <f t="shared" si="1"/>
        <v>TOw4mwUl-6o</v>
      </c>
      <c r="C9" s="5" t="s">
        <v>163</v>
      </c>
      <c r="D9" s="48">
        <v>45548.0</v>
      </c>
      <c r="E9" s="5">
        <v>3880.0</v>
      </c>
      <c r="F9" s="5">
        <v>5589.0</v>
      </c>
      <c r="G9" s="5">
        <v>440.0</v>
      </c>
      <c r="H9" s="5">
        <v>32.0</v>
      </c>
      <c r="I9" s="49">
        <f t="shared" si="2"/>
        <v>7.872606906</v>
      </c>
      <c r="J9" s="5">
        <v>120.0</v>
      </c>
      <c r="K9" s="5">
        <v>209.0</v>
      </c>
      <c r="L9" s="5">
        <v>146.0</v>
      </c>
      <c r="M9" s="5">
        <v>371.0</v>
      </c>
      <c r="N9" s="49">
        <f t="shared" si="3"/>
        <v>225</v>
      </c>
      <c r="O9" s="5">
        <v>35.0</v>
      </c>
      <c r="P9" s="53">
        <v>15.595</v>
      </c>
      <c r="Q9" s="51">
        <f t="shared" si="4"/>
        <v>0.1391118961</v>
      </c>
      <c r="R9" s="55">
        <v>112.104</v>
      </c>
    </row>
    <row r="10" ht="22.5" customHeight="1">
      <c r="A10" s="5" t="s">
        <v>80</v>
      </c>
      <c r="B10" s="8" t="str">
        <f t="shared" si="1"/>
        <v>W-OI-nX59Ds</v>
      </c>
      <c r="C10" s="5" t="s">
        <v>81</v>
      </c>
      <c r="D10" s="48">
        <v>41821.0</v>
      </c>
      <c r="E10" s="5">
        <v>153.0</v>
      </c>
      <c r="F10" s="5">
        <v>4254.0</v>
      </c>
      <c r="G10" s="5">
        <v>139.0</v>
      </c>
      <c r="H10" s="5">
        <v>9.0</v>
      </c>
      <c r="I10" s="49">
        <f t="shared" si="2"/>
        <v>3.267512929</v>
      </c>
      <c r="J10" s="5">
        <v>120.0</v>
      </c>
      <c r="K10" s="5">
        <v>203.0</v>
      </c>
      <c r="L10" s="5">
        <v>93.0</v>
      </c>
      <c r="M10" s="5">
        <v>414.0</v>
      </c>
      <c r="N10" s="49">
        <f t="shared" si="3"/>
        <v>321</v>
      </c>
      <c r="O10" s="5">
        <v>36.0</v>
      </c>
      <c r="P10" s="50">
        <v>6.65499999999992</v>
      </c>
      <c r="Q10" s="51">
        <f t="shared" si="4"/>
        <v>0.0632412194</v>
      </c>
      <c r="R10" s="55">
        <v>105.232</v>
      </c>
    </row>
    <row r="11" ht="22.5" customHeight="1">
      <c r="A11" s="5" t="s">
        <v>82</v>
      </c>
      <c r="B11" s="8" t="str">
        <f t="shared" si="1"/>
        <v>W7G1tTrRP0Y</v>
      </c>
      <c r="C11" s="5" t="s">
        <v>79</v>
      </c>
      <c r="D11" s="48">
        <v>41786.0</v>
      </c>
      <c r="E11" s="5">
        <v>119.0</v>
      </c>
      <c r="F11" s="5">
        <v>24447.0</v>
      </c>
      <c r="G11" s="5">
        <v>618.0</v>
      </c>
      <c r="H11" s="5">
        <v>84.0</v>
      </c>
      <c r="I11" s="49">
        <f t="shared" si="2"/>
        <v>2.527917536</v>
      </c>
      <c r="J11" s="5">
        <v>120.0</v>
      </c>
      <c r="K11" s="5">
        <v>224.0</v>
      </c>
      <c r="L11" s="5">
        <v>92.0</v>
      </c>
      <c r="M11" s="5">
        <v>463.0</v>
      </c>
      <c r="N11" s="49">
        <f t="shared" si="3"/>
        <v>371</v>
      </c>
      <c r="O11" s="5">
        <v>44.0</v>
      </c>
      <c r="P11" s="53">
        <v>15.86</v>
      </c>
      <c r="Q11" s="51">
        <f t="shared" si="4"/>
        <v>0.1448666423</v>
      </c>
      <c r="R11" s="55">
        <v>109.48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164</v>
      </c>
      <c r="B2" s="8" t="str">
        <f t="shared" ref="B2:B11" si="1">HYPERLINK("https://www.youtube.com/watch?v="&amp;A2, A2)</f>
        <v>2mUYSAJVev4</v>
      </c>
      <c r="C2" s="5" t="s">
        <v>165</v>
      </c>
      <c r="D2" s="48">
        <v>45920.0</v>
      </c>
      <c r="E2" s="5">
        <v>5561.0</v>
      </c>
      <c r="F2" s="5">
        <v>398077.0</v>
      </c>
      <c r="G2" s="5">
        <v>16866.0</v>
      </c>
      <c r="H2" s="5">
        <v>654.0</v>
      </c>
      <c r="I2" s="49">
        <f t="shared" ref="I2:I11" si="2">(G2/F2)*100</f>
        <v>4.236868746</v>
      </c>
      <c r="J2" s="5">
        <v>120.0</v>
      </c>
      <c r="K2" s="5">
        <v>206.0</v>
      </c>
      <c r="L2" s="5">
        <v>100.0</v>
      </c>
      <c r="M2" s="5">
        <v>391.0</v>
      </c>
      <c r="N2" s="49">
        <f t="shared" ref="N2:N11" si="3">M2-L2</f>
        <v>291</v>
      </c>
      <c r="O2" s="5">
        <v>38.0</v>
      </c>
      <c r="P2" s="5">
        <v>6.125</v>
      </c>
      <c r="Q2" s="51">
        <f t="shared" ref="Q2:Q11" si="4">DIVIDE(P2,R2)</f>
        <v>0.05133943539</v>
      </c>
      <c r="R2" s="55">
        <v>119.304</v>
      </c>
    </row>
    <row r="3" ht="22.5" customHeight="1">
      <c r="A3" s="5" t="s">
        <v>83</v>
      </c>
      <c r="B3" s="8" t="str">
        <f t="shared" si="1"/>
        <v>cMYgif4ponc</v>
      </c>
      <c r="C3" s="5" t="s">
        <v>84</v>
      </c>
      <c r="D3" s="48">
        <v>44659.0</v>
      </c>
      <c r="E3" s="5">
        <v>4300.0</v>
      </c>
      <c r="F3" s="5">
        <v>348968.0</v>
      </c>
      <c r="G3" s="5">
        <v>17650.0</v>
      </c>
      <c r="H3" s="5">
        <v>465.0</v>
      </c>
      <c r="I3" s="49">
        <f t="shared" si="2"/>
        <v>5.05777034</v>
      </c>
      <c r="J3" s="5">
        <v>120.0</v>
      </c>
      <c r="K3" s="5">
        <v>231.0</v>
      </c>
      <c r="L3" s="5">
        <v>100.0</v>
      </c>
      <c r="M3" s="5">
        <v>380.0</v>
      </c>
      <c r="N3" s="49">
        <f t="shared" si="3"/>
        <v>280</v>
      </c>
      <c r="O3" s="5">
        <v>44.0</v>
      </c>
      <c r="P3" s="5">
        <v>13.175</v>
      </c>
      <c r="Q3" s="51">
        <f t="shared" si="4"/>
        <v>0.1184546501</v>
      </c>
      <c r="R3" s="55">
        <v>111.224</v>
      </c>
    </row>
    <row r="4" ht="22.5" customHeight="1">
      <c r="A4" s="5" t="s">
        <v>86</v>
      </c>
      <c r="B4" s="8" t="str">
        <f t="shared" si="1"/>
        <v>K5YjixDnwvI</v>
      </c>
      <c r="C4" s="5" t="s">
        <v>87</v>
      </c>
      <c r="D4" s="48">
        <v>44709.0</v>
      </c>
      <c r="E4" s="5">
        <v>4351.0</v>
      </c>
      <c r="F4" s="5">
        <v>888765.0</v>
      </c>
      <c r="G4" s="5">
        <v>30647.0</v>
      </c>
      <c r="H4" s="5">
        <v>746.0</v>
      </c>
      <c r="I4" s="49">
        <f t="shared" si="2"/>
        <v>3.448268102</v>
      </c>
      <c r="J4" s="5">
        <v>120.0</v>
      </c>
      <c r="K4" s="5">
        <v>215.0</v>
      </c>
      <c r="L4" s="5">
        <v>110.0</v>
      </c>
      <c r="M4" s="5">
        <v>258.0</v>
      </c>
      <c r="N4" s="49">
        <f t="shared" si="3"/>
        <v>148</v>
      </c>
      <c r="O4" s="5">
        <v>34.0</v>
      </c>
      <c r="P4" s="5">
        <v>11.03</v>
      </c>
      <c r="Q4" s="51">
        <f t="shared" si="4"/>
        <v>0.1067970565</v>
      </c>
      <c r="R4" s="55">
        <v>103.28</v>
      </c>
    </row>
    <row r="5" ht="22.5" customHeight="1">
      <c r="A5" s="5" t="s">
        <v>166</v>
      </c>
      <c r="B5" s="8" t="str">
        <f t="shared" si="1"/>
        <v>MwJEtijz5fU</v>
      </c>
      <c r="C5" s="5" t="s">
        <v>167</v>
      </c>
      <c r="D5" s="48">
        <v>45836.0</v>
      </c>
      <c r="E5" s="5">
        <v>5477.0</v>
      </c>
      <c r="F5" s="5">
        <v>635759.0</v>
      </c>
      <c r="G5" s="5">
        <v>27515.0</v>
      </c>
      <c r="H5" s="5">
        <v>1474.0</v>
      </c>
      <c r="I5" s="49">
        <f t="shared" si="2"/>
        <v>4.327897836</v>
      </c>
      <c r="J5" s="5">
        <v>120.0</v>
      </c>
      <c r="K5" s="5">
        <v>211.0</v>
      </c>
      <c r="L5" s="5">
        <v>103.0</v>
      </c>
      <c r="M5" s="5">
        <v>423.0</v>
      </c>
      <c r="N5" s="49">
        <f t="shared" si="3"/>
        <v>320</v>
      </c>
      <c r="O5" s="5">
        <v>38.0</v>
      </c>
      <c r="P5" s="5">
        <v>6.48</v>
      </c>
      <c r="Q5" s="51">
        <f t="shared" si="4"/>
        <v>0.05547565235</v>
      </c>
      <c r="R5" s="55">
        <v>116.808</v>
      </c>
    </row>
    <row r="6" ht="22.5" customHeight="1">
      <c r="A6" s="5" t="s">
        <v>168</v>
      </c>
      <c r="B6" s="8" t="str">
        <f t="shared" si="1"/>
        <v>o4YeWrld9qs</v>
      </c>
      <c r="C6" s="5" t="s">
        <v>169</v>
      </c>
      <c r="D6" s="48">
        <v>45996.0</v>
      </c>
      <c r="E6" s="5">
        <v>5637.0</v>
      </c>
      <c r="F6" s="5">
        <v>161813.0</v>
      </c>
      <c r="G6" s="5">
        <v>8477.0</v>
      </c>
      <c r="H6" s="5">
        <v>528.0</v>
      </c>
      <c r="I6" s="49">
        <f t="shared" si="2"/>
        <v>5.238763264</v>
      </c>
      <c r="J6" s="5">
        <v>120.0</v>
      </c>
      <c r="K6" s="5">
        <v>205.0</v>
      </c>
      <c r="L6" s="5">
        <v>100.0</v>
      </c>
      <c r="M6" s="5">
        <v>438.0</v>
      </c>
      <c r="N6" s="49">
        <f t="shared" si="3"/>
        <v>338</v>
      </c>
      <c r="O6" s="5">
        <v>34.0</v>
      </c>
      <c r="P6" s="5">
        <v>4.515</v>
      </c>
      <c r="Q6" s="51">
        <f t="shared" si="4"/>
        <v>0.03824197046</v>
      </c>
      <c r="R6" s="55">
        <v>118.064</v>
      </c>
    </row>
    <row r="7" ht="22.5" customHeight="1">
      <c r="A7" s="5" t="s">
        <v>88</v>
      </c>
      <c r="B7" s="8" t="str">
        <f t="shared" si="1"/>
        <v>P-rtFEVNDQQ</v>
      </c>
      <c r="C7" s="5" t="s">
        <v>64</v>
      </c>
      <c r="D7" s="48">
        <v>44750.0</v>
      </c>
      <c r="E7" s="5">
        <v>4391.0</v>
      </c>
      <c r="F7" s="5">
        <v>552030.0</v>
      </c>
      <c r="G7" s="5">
        <v>20941.0</v>
      </c>
      <c r="H7" s="5">
        <v>668.0</v>
      </c>
      <c r="I7" s="49">
        <f t="shared" si="2"/>
        <v>3.793453254</v>
      </c>
      <c r="J7" s="5">
        <v>120.0</v>
      </c>
      <c r="K7" s="5">
        <v>222.0</v>
      </c>
      <c r="L7" s="5">
        <v>100.0</v>
      </c>
      <c r="M7" s="5">
        <v>362.0</v>
      </c>
      <c r="N7" s="49">
        <f t="shared" si="3"/>
        <v>262</v>
      </c>
      <c r="O7" s="5">
        <v>33.0</v>
      </c>
      <c r="P7" s="5">
        <v>3.39</v>
      </c>
      <c r="Q7" s="51">
        <f t="shared" si="4"/>
        <v>0.02871324028</v>
      </c>
      <c r="R7" s="55">
        <v>118.064</v>
      </c>
    </row>
    <row r="8" ht="22.5" customHeight="1">
      <c r="A8" s="5" t="s">
        <v>170</v>
      </c>
      <c r="B8" s="8" t="str">
        <f t="shared" si="1"/>
        <v>pK4_hmeiEV8</v>
      </c>
      <c r="C8" s="5" t="s">
        <v>171</v>
      </c>
      <c r="D8" s="48">
        <v>45961.0</v>
      </c>
      <c r="E8" s="5">
        <v>5602.0</v>
      </c>
      <c r="F8" s="5">
        <v>261707.0</v>
      </c>
      <c r="G8" s="5">
        <v>11327.0</v>
      </c>
      <c r="H8" s="5">
        <v>414.0</v>
      </c>
      <c r="I8" s="49">
        <f t="shared" si="2"/>
        <v>4.328122672</v>
      </c>
      <c r="J8" s="5">
        <v>120.0</v>
      </c>
      <c r="K8" s="5">
        <v>208.0</v>
      </c>
      <c r="L8" s="5">
        <v>92.0</v>
      </c>
      <c r="M8" s="5">
        <v>378.0</v>
      </c>
      <c r="N8" s="49">
        <f t="shared" si="3"/>
        <v>286</v>
      </c>
      <c r="O8" s="5">
        <v>37.0</v>
      </c>
      <c r="P8" s="5">
        <v>8.335</v>
      </c>
      <c r="Q8" s="51">
        <f t="shared" si="4"/>
        <v>0.0722871713</v>
      </c>
      <c r="R8" s="55">
        <v>115.304</v>
      </c>
    </row>
    <row r="9" ht="22.5" customHeight="1">
      <c r="A9" s="5" t="s">
        <v>89</v>
      </c>
      <c r="B9" s="8" t="str">
        <f t="shared" si="1"/>
        <v>qXfUMtp_yFE</v>
      </c>
      <c r="C9" s="5" t="s">
        <v>90</v>
      </c>
      <c r="D9" s="48">
        <v>44771.0</v>
      </c>
      <c r="E9" s="5">
        <v>4412.0</v>
      </c>
      <c r="F9" s="5">
        <v>1022124.0</v>
      </c>
      <c r="G9" s="5">
        <v>34702.0</v>
      </c>
      <c r="H9" s="5">
        <v>982.0</v>
      </c>
      <c r="I9" s="49">
        <f t="shared" si="2"/>
        <v>3.395087093</v>
      </c>
      <c r="J9" s="5">
        <v>120.0</v>
      </c>
      <c r="K9" s="5">
        <v>226.0</v>
      </c>
      <c r="L9" s="5">
        <v>89.0</v>
      </c>
      <c r="M9" s="5">
        <v>392.0</v>
      </c>
      <c r="N9" s="49">
        <f t="shared" si="3"/>
        <v>303</v>
      </c>
      <c r="O9" s="5">
        <v>36.0</v>
      </c>
      <c r="P9" s="5">
        <v>9.93</v>
      </c>
      <c r="Q9" s="51">
        <f t="shared" si="4"/>
        <v>0.08922153537</v>
      </c>
      <c r="R9" s="55">
        <v>111.296</v>
      </c>
    </row>
    <row r="10" ht="22.5" customHeight="1">
      <c r="A10" s="5" t="s">
        <v>91</v>
      </c>
      <c r="B10" s="8" t="str">
        <f t="shared" si="1"/>
        <v>uJvK2OQslD8</v>
      </c>
      <c r="C10" s="5" t="s">
        <v>92</v>
      </c>
      <c r="D10" s="48">
        <v>44617.0</v>
      </c>
      <c r="E10" s="5">
        <v>4258.0</v>
      </c>
      <c r="F10" s="5">
        <v>659746.0</v>
      </c>
      <c r="G10" s="5">
        <v>27268.0</v>
      </c>
      <c r="H10" s="5">
        <v>634.0</v>
      </c>
      <c r="I10" s="49">
        <f t="shared" si="2"/>
        <v>4.133105771</v>
      </c>
      <c r="J10" s="5">
        <v>120.0</v>
      </c>
      <c r="K10" s="5">
        <v>239.0</v>
      </c>
      <c r="L10" s="5">
        <v>102.0</v>
      </c>
      <c r="M10" s="5">
        <v>339.0</v>
      </c>
      <c r="N10" s="49">
        <f t="shared" si="3"/>
        <v>237</v>
      </c>
      <c r="O10" s="5">
        <v>49.0</v>
      </c>
      <c r="P10" s="5">
        <v>9.19</v>
      </c>
      <c r="Q10" s="51">
        <f t="shared" si="4"/>
        <v>0.07916408242</v>
      </c>
      <c r="R10" s="55">
        <v>116.087999999999</v>
      </c>
    </row>
    <row r="11" ht="22.5" customHeight="1">
      <c r="A11" s="5" t="s">
        <v>172</v>
      </c>
      <c r="B11" s="8" t="str">
        <f t="shared" si="1"/>
        <v>v8CFX9ediZQ</v>
      </c>
      <c r="C11" s="5" t="s">
        <v>173</v>
      </c>
      <c r="D11" s="48">
        <v>45727.0</v>
      </c>
      <c r="E11" s="5">
        <v>5368.0</v>
      </c>
      <c r="F11" s="5">
        <v>726015.0</v>
      </c>
      <c r="G11" s="5">
        <v>25962.0</v>
      </c>
      <c r="H11" s="5">
        <v>1220.0</v>
      </c>
      <c r="I11" s="49">
        <f t="shared" si="2"/>
        <v>3.575959174</v>
      </c>
      <c r="J11" s="5">
        <v>120.0</v>
      </c>
      <c r="K11" s="5">
        <v>215.0</v>
      </c>
      <c r="L11" s="5">
        <v>88.0</v>
      </c>
      <c r="M11" s="5">
        <v>404.0</v>
      </c>
      <c r="N11" s="49">
        <f t="shared" si="3"/>
        <v>316</v>
      </c>
      <c r="O11" s="5">
        <v>35.0</v>
      </c>
      <c r="P11" s="5">
        <v>4.995</v>
      </c>
      <c r="Q11" s="51">
        <f t="shared" si="4"/>
        <v>0.04210215779</v>
      </c>
      <c r="R11" s="55">
        <v>118.64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93</v>
      </c>
      <c r="B2" s="8" t="str">
        <f t="shared" ref="B2:B11" si="1">HYPERLINK("https://www.youtube.com/watch?v="&amp;A2, A2)</f>
        <v>2Ac4UCO_cs8</v>
      </c>
      <c r="C2" s="5" t="s">
        <v>94</v>
      </c>
      <c r="D2" s="48">
        <v>42878.0</v>
      </c>
      <c r="E2" s="5">
        <v>908.0</v>
      </c>
      <c r="F2" s="5">
        <v>26527.0</v>
      </c>
      <c r="G2" s="5">
        <v>1544.0</v>
      </c>
      <c r="H2" s="5">
        <v>99.0</v>
      </c>
      <c r="I2" s="49">
        <f t="shared" ref="I2:I11" si="2">(G2/F2)*100</f>
        <v>5.820484789</v>
      </c>
      <c r="J2" s="5">
        <v>120.0</v>
      </c>
      <c r="K2" s="56">
        <v>262.0</v>
      </c>
      <c r="L2" s="5">
        <v>215.0</v>
      </c>
      <c r="M2" s="5">
        <v>369.0</v>
      </c>
      <c r="N2" s="49">
        <f t="shared" ref="N2:N11" si="3">M2-L2</f>
        <v>154</v>
      </c>
      <c r="O2" s="5">
        <v>36.0</v>
      </c>
      <c r="P2" s="5">
        <v>44.22</v>
      </c>
      <c r="Q2" s="51">
        <f t="shared" ref="Q2:Q11" si="4">DIVIDE(P2,R2)</f>
        <v>0.6343968782</v>
      </c>
      <c r="R2" s="55">
        <v>69.704</v>
      </c>
    </row>
    <row r="3" ht="22.5" customHeight="1">
      <c r="A3" s="5" t="s">
        <v>174</v>
      </c>
      <c r="B3" s="8" t="str">
        <f t="shared" si="1"/>
        <v>66woxFcScvg</v>
      </c>
      <c r="C3" s="5" t="s">
        <v>92</v>
      </c>
      <c r="D3" s="48">
        <v>45966.0</v>
      </c>
      <c r="E3" s="5">
        <v>3996.0</v>
      </c>
      <c r="F3" s="5">
        <v>18910.0</v>
      </c>
      <c r="G3" s="5">
        <v>1759.0</v>
      </c>
      <c r="H3" s="5">
        <v>222.0</v>
      </c>
      <c r="I3" s="49">
        <f t="shared" si="2"/>
        <v>9.301956637</v>
      </c>
      <c r="J3" s="5">
        <v>120.0</v>
      </c>
      <c r="K3" s="56">
        <v>233.0</v>
      </c>
      <c r="L3" s="5">
        <v>97.0</v>
      </c>
      <c r="M3" s="5">
        <v>404.0</v>
      </c>
      <c r="N3" s="49">
        <f t="shared" si="3"/>
        <v>307</v>
      </c>
      <c r="O3" s="5">
        <v>39.0</v>
      </c>
      <c r="P3" s="5">
        <v>11.105</v>
      </c>
      <c r="Q3" s="51">
        <f t="shared" si="4"/>
        <v>0.1052886074</v>
      </c>
      <c r="R3" s="55">
        <v>105.471999999999</v>
      </c>
    </row>
    <row r="4" ht="22.5" customHeight="1">
      <c r="A4" s="5" t="s">
        <v>175</v>
      </c>
      <c r="B4" s="8" t="str">
        <f t="shared" si="1"/>
        <v>6gl6IGCnIiw</v>
      </c>
      <c r="C4" s="5" t="s">
        <v>176</v>
      </c>
      <c r="D4" s="48">
        <v>45981.0</v>
      </c>
      <c r="E4" s="5">
        <v>4010.0</v>
      </c>
      <c r="F4" s="5">
        <v>29437.0</v>
      </c>
      <c r="G4" s="5">
        <v>1865.0</v>
      </c>
      <c r="H4" s="5">
        <v>206.0</v>
      </c>
      <c r="I4" s="49">
        <f t="shared" si="2"/>
        <v>6.335564086</v>
      </c>
      <c r="J4" s="5">
        <v>120.0</v>
      </c>
      <c r="K4" s="56">
        <v>200.0</v>
      </c>
      <c r="L4" s="5">
        <v>91.0</v>
      </c>
      <c r="M4" s="5">
        <v>498.0</v>
      </c>
      <c r="N4" s="49">
        <f t="shared" si="3"/>
        <v>407</v>
      </c>
      <c r="O4" s="5">
        <v>45.0</v>
      </c>
      <c r="P4" s="5">
        <v>19.44</v>
      </c>
      <c r="Q4" s="51">
        <f t="shared" si="4"/>
        <v>0.1955419651</v>
      </c>
      <c r="R4" s="55">
        <v>99.4159999999999</v>
      </c>
    </row>
    <row r="5" ht="22.5" customHeight="1">
      <c r="A5" s="5" t="s">
        <v>95</v>
      </c>
      <c r="B5" s="8" t="str">
        <f t="shared" si="1"/>
        <v>BoPqTaPP6co</v>
      </c>
      <c r="C5" s="5" t="s">
        <v>96</v>
      </c>
      <c r="D5" s="48">
        <v>42826.0</v>
      </c>
      <c r="E5" s="5">
        <v>856.0</v>
      </c>
      <c r="F5" s="5">
        <v>48334.0</v>
      </c>
      <c r="G5" s="5">
        <v>2030.0</v>
      </c>
      <c r="H5" s="5">
        <v>244.0</v>
      </c>
      <c r="I5" s="49">
        <f t="shared" si="2"/>
        <v>4.19994207</v>
      </c>
      <c r="J5" s="5">
        <v>120.0</v>
      </c>
      <c r="K5" s="56">
        <v>253.0</v>
      </c>
      <c r="L5" s="5">
        <v>111.0</v>
      </c>
      <c r="M5" s="5">
        <v>387.0</v>
      </c>
      <c r="N5" s="49">
        <f t="shared" si="3"/>
        <v>276</v>
      </c>
      <c r="O5" s="5">
        <v>33.0</v>
      </c>
      <c r="P5" s="5">
        <v>21.14</v>
      </c>
      <c r="Q5" s="51">
        <f t="shared" si="4"/>
        <v>0.2240356083</v>
      </c>
      <c r="R5" s="55">
        <v>94.3599999999999</v>
      </c>
    </row>
    <row r="6" ht="22.5" customHeight="1">
      <c r="A6" s="5" t="s">
        <v>97</v>
      </c>
      <c r="B6" s="8" t="str">
        <f t="shared" si="1"/>
        <v>cS-IYblgDNY</v>
      </c>
      <c r="C6" s="5" t="s">
        <v>96</v>
      </c>
      <c r="D6" s="48">
        <v>42767.0</v>
      </c>
      <c r="E6" s="5">
        <v>797.0</v>
      </c>
      <c r="F6" s="5">
        <v>53863.0</v>
      </c>
      <c r="G6" s="5">
        <v>3178.0</v>
      </c>
      <c r="H6" s="5">
        <v>569.0</v>
      </c>
      <c r="I6" s="49">
        <f t="shared" si="2"/>
        <v>5.900154095</v>
      </c>
      <c r="J6" s="5">
        <v>120.0</v>
      </c>
      <c r="K6" s="56">
        <v>254.0</v>
      </c>
      <c r="L6" s="5">
        <v>102.0</v>
      </c>
      <c r="M6" s="5">
        <v>462.0</v>
      </c>
      <c r="N6" s="49">
        <f t="shared" si="3"/>
        <v>360</v>
      </c>
      <c r="O6" s="5">
        <v>49.0</v>
      </c>
      <c r="P6" s="5">
        <v>19.08</v>
      </c>
      <c r="Q6" s="51">
        <f t="shared" si="4"/>
        <v>0.1857766007</v>
      </c>
      <c r="R6" s="55">
        <v>102.704</v>
      </c>
    </row>
    <row r="7" ht="22.5" customHeight="1">
      <c r="A7" s="5" t="s">
        <v>177</v>
      </c>
      <c r="B7" s="8" t="str">
        <f t="shared" si="1"/>
        <v>ENVh9KGJPKE</v>
      </c>
      <c r="C7" s="5" t="s">
        <v>84</v>
      </c>
      <c r="D7" s="48">
        <v>45964.0</v>
      </c>
      <c r="E7" s="5">
        <v>3993.0</v>
      </c>
      <c r="F7" s="5">
        <v>20506.0</v>
      </c>
      <c r="G7" s="5">
        <v>1440.0</v>
      </c>
      <c r="H7" s="5">
        <v>105.0</v>
      </c>
      <c r="I7" s="49">
        <f t="shared" si="2"/>
        <v>7.022334926</v>
      </c>
      <c r="J7" s="5">
        <v>120.0</v>
      </c>
      <c r="K7" s="56">
        <v>225.0</v>
      </c>
      <c r="L7" s="5">
        <v>92.0</v>
      </c>
      <c r="M7" s="5">
        <v>433.0</v>
      </c>
      <c r="N7" s="49">
        <f t="shared" si="3"/>
        <v>341</v>
      </c>
      <c r="O7" s="5">
        <v>39.0</v>
      </c>
      <c r="P7" s="5">
        <v>11.75</v>
      </c>
      <c r="Q7" s="51">
        <f t="shared" si="4"/>
        <v>0.1171251994</v>
      </c>
      <c r="R7" s="55">
        <v>100.32</v>
      </c>
    </row>
    <row r="8" ht="22.5" customHeight="1">
      <c r="A8" s="5" t="s">
        <v>178</v>
      </c>
      <c r="B8" s="8" t="str">
        <f t="shared" si="1"/>
        <v>EPhLb-gME8Q</v>
      </c>
      <c r="C8" s="5" t="s">
        <v>92</v>
      </c>
      <c r="D8" s="48">
        <v>45995.0</v>
      </c>
      <c r="E8" s="5">
        <v>4024.0</v>
      </c>
      <c r="F8" s="5">
        <v>15827.0</v>
      </c>
      <c r="G8" s="5">
        <v>1255.0</v>
      </c>
      <c r="H8" s="5">
        <v>72.0</v>
      </c>
      <c r="I8" s="49">
        <f t="shared" si="2"/>
        <v>7.929487585</v>
      </c>
      <c r="J8" s="5">
        <v>120.0</v>
      </c>
      <c r="K8" s="56">
        <v>230.0</v>
      </c>
      <c r="L8" s="5">
        <v>158.0</v>
      </c>
      <c r="M8" s="5">
        <v>400.0</v>
      </c>
      <c r="N8" s="49">
        <f t="shared" si="3"/>
        <v>242</v>
      </c>
      <c r="O8" s="5">
        <v>32.0</v>
      </c>
      <c r="P8" s="5">
        <v>13.525</v>
      </c>
      <c r="Q8" s="51">
        <f t="shared" si="4"/>
        <v>0.1438952251</v>
      </c>
      <c r="R8" s="55">
        <v>93.9919999999999</v>
      </c>
    </row>
    <row r="9" ht="22.5" customHeight="1">
      <c r="A9" s="5" t="s">
        <v>98</v>
      </c>
      <c r="B9" s="8" t="str">
        <f t="shared" si="1"/>
        <v>loOdZ_wL1fc</v>
      </c>
      <c r="C9" s="5" t="s">
        <v>96</v>
      </c>
      <c r="D9" s="48">
        <v>42856.0</v>
      </c>
      <c r="E9" s="5">
        <v>886.0</v>
      </c>
      <c r="F9" s="5">
        <v>51461.0</v>
      </c>
      <c r="G9" s="5">
        <v>1887.0</v>
      </c>
      <c r="H9" s="5">
        <v>257.0</v>
      </c>
      <c r="I9" s="49">
        <f t="shared" si="2"/>
        <v>3.666854511</v>
      </c>
      <c r="J9" s="5">
        <v>120.0</v>
      </c>
      <c r="K9" s="56">
        <v>245.0</v>
      </c>
      <c r="L9" s="5">
        <v>179.0</v>
      </c>
      <c r="M9" s="5">
        <v>408.0</v>
      </c>
      <c r="N9" s="49">
        <f t="shared" si="3"/>
        <v>229</v>
      </c>
      <c r="O9" s="5">
        <v>33.0</v>
      </c>
      <c r="P9" s="5">
        <v>22.83</v>
      </c>
      <c r="Q9" s="51">
        <f t="shared" si="4"/>
        <v>0.2446001543</v>
      </c>
      <c r="R9" s="55">
        <v>93.3359999999999</v>
      </c>
    </row>
    <row r="10" ht="22.5" customHeight="1">
      <c r="A10" s="5" t="s">
        <v>179</v>
      </c>
      <c r="B10" s="8" t="str">
        <f t="shared" si="1"/>
        <v>RKNI8dLGQyU</v>
      </c>
      <c r="C10" s="5" t="s">
        <v>180</v>
      </c>
      <c r="D10" s="48">
        <v>45991.0</v>
      </c>
      <c r="E10" s="5">
        <v>4021.0</v>
      </c>
      <c r="F10" s="5">
        <v>30354.0</v>
      </c>
      <c r="G10" s="5">
        <v>1899.0</v>
      </c>
      <c r="H10" s="5">
        <v>233.0</v>
      </c>
      <c r="I10" s="49">
        <f t="shared" si="2"/>
        <v>6.25617711</v>
      </c>
      <c r="J10" s="5">
        <v>120.0</v>
      </c>
      <c r="K10" s="56">
        <v>237.0</v>
      </c>
      <c r="L10" s="5">
        <v>102.0</v>
      </c>
      <c r="M10" s="5">
        <v>462.0</v>
      </c>
      <c r="N10" s="49">
        <f t="shared" si="3"/>
        <v>360</v>
      </c>
      <c r="O10" s="5">
        <v>43.0</v>
      </c>
      <c r="P10" s="5">
        <v>14.61</v>
      </c>
      <c r="Q10" s="51">
        <f t="shared" si="4"/>
        <v>0.1560764037</v>
      </c>
      <c r="R10" s="55">
        <v>93.6079999999999</v>
      </c>
    </row>
    <row r="11" ht="22.5" customHeight="1">
      <c r="A11" s="5" t="s">
        <v>99</v>
      </c>
      <c r="B11" s="8" t="str">
        <f t="shared" si="1"/>
        <v>YtfREQbh3TM</v>
      </c>
      <c r="C11" s="5" t="s">
        <v>96</v>
      </c>
      <c r="D11" s="48">
        <v>42796.0</v>
      </c>
      <c r="E11" s="5">
        <v>825.0</v>
      </c>
      <c r="F11" s="5">
        <v>49462.0</v>
      </c>
      <c r="G11" s="5">
        <v>1976.0</v>
      </c>
      <c r="H11" s="5">
        <v>225.0</v>
      </c>
      <c r="I11" s="49">
        <f t="shared" si="2"/>
        <v>3.99498605</v>
      </c>
      <c r="J11" s="5">
        <v>120.0</v>
      </c>
      <c r="K11" s="56">
        <v>237.0</v>
      </c>
      <c r="L11" s="5">
        <v>102.0</v>
      </c>
      <c r="M11" s="5">
        <v>462.0</v>
      </c>
      <c r="N11" s="49">
        <f t="shared" si="3"/>
        <v>360</v>
      </c>
      <c r="O11" s="5">
        <v>43.0</v>
      </c>
      <c r="P11" s="5">
        <v>18.245</v>
      </c>
      <c r="Q11" s="51">
        <f t="shared" si="4"/>
        <v>0.1843078229</v>
      </c>
      <c r="R11" s="55">
        <v>98.9919999999999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100</v>
      </c>
      <c r="B2" s="8" t="str">
        <f t="shared" ref="B2:B11" si="1">HYPERLINK("https://www.youtube.com/watch?v="&amp;A2, A2)</f>
        <v>dgjkgBKHiK4</v>
      </c>
      <c r="C2" s="5" t="s">
        <v>101</v>
      </c>
      <c r="D2" s="48">
        <v>44175.0</v>
      </c>
      <c r="E2" s="5">
        <v>1904.0</v>
      </c>
      <c r="F2" s="5">
        <v>155.0</v>
      </c>
      <c r="G2" s="5">
        <v>5.0</v>
      </c>
      <c r="H2" s="5">
        <v>1.0</v>
      </c>
      <c r="I2" s="49">
        <f t="shared" ref="I2:I11" si="2">(G2/F2)*100</f>
        <v>3.225806452</v>
      </c>
      <c r="J2" s="5">
        <v>120.0</v>
      </c>
      <c r="K2" s="5">
        <v>232.0</v>
      </c>
      <c r="L2" s="5">
        <v>89.0</v>
      </c>
      <c r="M2" s="5">
        <v>413.0</v>
      </c>
      <c r="N2" s="49">
        <f t="shared" ref="N2:N11" si="3">M2-L2</f>
        <v>324</v>
      </c>
      <c r="O2" s="5">
        <v>46.0</v>
      </c>
      <c r="P2" s="5">
        <v>25.42</v>
      </c>
      <c r="Q2" s="51">
        <f t="shared" ref="Q2:Q11" si="4">DIVIDE(P2,R2)</f>
        <v>0.2354226865</v>
      </c>
      <c r="R2" s="55">
        <v>107.975999999999</v>
      </c>
    </row>
    <row r="3" ht="22.5" customHeight="1">
      <c r="A3" s="5" t="s">
        <v>100</v>
      </c>
      <c r="B3" s="8" t="str">
        <f t="shared" si="1"/>
        <v>dgjkgBKHiK4</v>
      </c>
      <c r="C3" s="5" t="s">
        <v>102</v>
      </c>
      <c r="D3" s="48">
        <v>44175.0</v>
      </c>
      <c r="E3" s="5">
        <v>1904.0</v>
      </c>
      <c r="F3" s="5">
        <v>155.0</v>
      </c>
      <c r="G3" s="5">
        <v>5.0</v>
      </c>
      <c r="H3" s="5">
        <v>1.0</v>
      </c>
      <c r="I3" s="49">
        <f t="shared" si="2"/>
        <v>3.225806452</v>
      </c>
      <c r="J3" s="5">
        <v>120.0</v>
      </c>
      <c r="K3" s="5">
        <v>223.0</v>
      </c>
      <c r="L3" s="5">
        <v>89.0</v>
      </c>
      <c r="M3" s="5">
        <v>429.0</v>
      </c>
      <c r="N3" s="49">
        <f t="shared" si="3"/>
        <v>340</v>
      </c>
      <c r="O3" s="5">
        <v>49.0</v>
      </c>
      <c r="P3" s="5">
        <v>24.635</v>
      </c>
      <c r="Q3" s="51">
        <f t="shared" si="4"/>
        <v>0.2393420644</v>
      </c>
      <c r="R3" s="55">
        <v>102.928</v>
      </c>
    </row>
    <row r="4" ht="22.5" customHeight="1">
      <c r="A4" s="5" t="s">
        <v>103</v>
      </c>
      <c r="B4" s="8" t="str">
        <f t="shared" si="1"/>
        <v>h6BZ51I3Kcs</v>
      </c>
      <c r="C4" s="5" t="s">
        <v>104</v>
      </c>
      <c r="D4" s="48">
        <v>44423.0</v>
      </c>
      <c r="E4" s="5">
        <v>2153.0</v>
      </c>
      <c r="F4" s="5">
        <v>148.0</v>
      </c>
      <c r="G4" s="5">
        <v>4.0</v>
      </c>
      <c r="H4" s="5">
        <v>1.0</v>
      </c>
      <c r="I4" s="49">
        <f t="shared" si="2"/>
        <v>2.702702703</v>
      </c>
      <c r="J4" s="5">
        <v>120.0</v>
      </c>
      <c r="K4" s="5">
        <v>235.0</v>
      </c>
      <c r="L4" s="5">
        <v>100.0</v>
      </c>
      <c r="M4" s="5">
        <v>382.0</v>
      </c>
      <c r="N4" s="49">
        <f t="shared" si="3"/>
        <v>282</v>
      </c>
      <c r="O4" s="5">
        <v>35.0</v>
      </c>
      <c r="P4" s="5">
        <v>12.025</v>
      </c>
      <c r="Q4" s="51">
        <f t="shared" si="4"/>
        <v>0.1145674543</v>
      </c>
      <c r="R4" s="55">
        <v>104.959999999999</v>
      </c>
    </row>
    <row r="5" ht="22.5" customHeight="1">
      <c r="A5" s="5" t="s">
        <v>181</v>
      </c>
      <c r="B5" s="8" t="str">
        <f t="shared" si="1"/>
        <v>J1C2oRy4BiU</v>
      </c>
      <c r="C5" s="5" t="s">
        <v>92</v>
      </c>
      <c r="D5" s="48">
        <v>45636.0</v>
      </c>
      <c r="E5" s="5">
        <v>3365.0</v>
      </c>
      <c r="F5" s="5">
        <v>583.0</v>
      </c>
      <c r="G5" s="5">
        <v>32.0</v>
      </c>
      <c r="H5" s="5">
        <v>3.0</v>
      </c>
      <c r="I5" s="49">
        <f t="shared" si="2"/>
        <v>5.488850772</v>
      </c>
      <c r="J5" s="5">
        <v>120.0</v>
      </c>
      <c r="K5" s="5">
        <v>226.0</v>
      </c>
      <c r="L5" s="5">
        <v>91.0</v>
      </c>
      <c r="M5" s="5">
        <v>467.0</v>
      </c>
      <c r="N5" s="49">
        <f t="shared" si="3"/>
        <v>376</v>
      </c>
      <c r="O5" s="5">
        <v>52.0</v>
      </c>
      <c r="P5" s="5">
        <v>10.815</v>
      </c>
      <c r="Q5" s="51">
        <f t="shared" si="4"/>
        <v>0.1088641488</v>
      </c>
      <c r="R5" s="55">
        <v>99.344</v>
      </c>
    </row>
    <row r="6" ht="22.5" customHeight="1">
      <c r="A6" s="5" t="s">
        <v>181</v>
      </c>
      <c r="B6" s="8" t="str">
        <f t="shared" si="1"/>
        <v>J1C2oRy4BiU</v>
      </c>
      <c r="C6" s="5" t="s">
        <v>94</v>
      </c>
      <c r="D6" s="48">
        <v>45636.0</v>
      </c>
      <c r="E6" s="5">
        <v>3365.0</v>
      </c>
      <c r="F6" s="5">
        <v>583.0</v>
      </c>
      <c r="G6" s="5">
        <v>32.0</v>
      </c>
      <c r="H6" s="5">
        <v>3.0</v>
      </c>
      <c r="I6" s="49">
        <f t="shared" si="2"/>
        <v>5.488850772</v>
      </c>
      <c r="J6" s="5">
        <v>120.0</v>
      </c>
      <c r="K6" s="5">
        <v>224.0</v>
      </c>
      <c r="L6" s="5">
        <v>92.0</v>
      </c>
      <c r="M6" s="5">
        <v>390.0</v>
      </c>
      <c r="N6" s="49">
        <f t="shared" si="3"/>
        <v>298</v>
      </c>
      <c r="O6" s="5">
        <v>48.0</v>
      </c>
      <c r="P6" s="5">
        <v>8.87</v>
      </c>
      <c r="Q6" s="51">
        <f t="shared" si="4"/>
        <v>0.08033838128</v>
      </c>
      <c r="R6" s="55">
        <v>110.407999999999</v>
      </c>
    </row>
    <row r="7" ht="22.5" customHeight="1">
      <c r="A7" s="5" t="s">
        <v>182</v>
      </c>
      <c r="B7" s="8" t="str">
        <f t="shared" si="1"/>
        <v>JdKbiijmNnM</v>
      </c>
      <c r="C7" s="5" t="s">
        <v>92</v>
      </c>
      <c r="D7" s="48">
        <v>45761.0</v>
      </c>
      <c r="E7" s="5">
        <v>3490.0</v>
      </c>
      <c r="F7" s="5">
        <v>440.0</v>
      </c>
      <c r="G7" s="5">
        <v>25.0</v>
      </c>
      <c r="H7" s="5">
        <v>1.0</v>
      </c>
      <c r="I7" s="49">
        <f t="shared" si="2"/>
        <v>5.681818182</v>
      </c>
      <c r="J7" s="5">
        <v>120.0</v>
      </c>
      <c r="K7" s="5">
        <v>232.0</v>
      </c>
      <c r="L7" s="5">
        <v>89.0</v>
      </c>
      <c r="M7" s="5">
        <v>470.0</v>
      </c>
      <c r="N7" s="49">
        <f t="shared" si="3"/>
        <v>381</v>
      </c>
      <c r="O7" s="5">
        <v>44.0</v>
      </c>
      <c r="P7" s="5">
        <v>16.45</v>
      </c>
      <c r="Q7" s="51">
        <f t="shared" si="4"/>
        <v>0.1579058516</v>
      </c>
      <c r="R7" s="55">
        <v>104.176</v>
      </c>
    </row>
    <row r="8" ht="22.5" customHeight="1">
      <c r="A8" s="5" t="s">
        <v>182</v>
      </c>
      <c r="B8" s="8" t="str">
        <f t="shared" si="1"/>
        <v>JdKbiijmNnM</v>
      </c>
      <c r="C8" s="5" t="s">
        <v>183</v>
      </c>
      <c r="D8" s="48">
        <v>45761.0</v>
      </c>
      <c r="E8" s="5">
        <v>3490.0</v>
      </c>
      <c r="F8" s="5">
        <v>440.0</v>
      </c>
      <c r="G8" s="5">
        <v>25.0</v>
      </c>
      <c r="H8" s="5">
        <v>1.0</v>
      </c>
      <c r="I8" s="49">
        <f t="shared" si="2"/>
        <v>5.681818182</v>
      </c>
      <c r="J8" s="5">
        <v>120.0</v>
      </c>
      <c r="K8" s="5">
        <v>245.0</v>
      </c>
      <c r="L8" s="5">
        <v>91.0</v>
      </c>
      <c r="M8" s="5">
        <v>444.0</v>
      </c>
      <c r="N8" s="49">
        <f t="shared" si="3"/>
        <v>353</v>
      </c>
      <c r="O8" s="5">
        <v>47.0</v>
      </c>
      <c r="P8" s="5">
        <v>15.83</v>
      </c>
      <c r="Q8" s="51">
        <f t="shared" si="4"/>
        <v>0.1631420562</v>
      </c>
      <c r="R8" s="55">
        <v>97.032</v>
      </c>
    </row>
    <row r="9" ht="22.5" customHeight="1">
      <c r="A9" s="5" t="s">
        <v>184</v>
      </c>
      <c r="B9" s="8" t="str">
        <f t="shared" si="1"/>
        <v>nSQ75EfX1Zs</v>
      </c>
      <c r="C9" s="5" t="s">
        <v>92</v>
      </c>
      <c r="D9" s="48">
        <v>45638.0</v>
      </c>
      <c r="E9" s="5">
        <v>3367.0</v>
      </c>
      <c r="F9" s="5">
        <v>270.0</v>
      </c>
      <c r="G9" s="5">
        <v>9.0</v>
      </c>
      <c r="H9" s="5">
        <v>2.0</v>
      </c>
      <c r="I9" s="49">
        <f t="shared" si="2"/>
        <v>3.333333333</v>
      </c>
      <c r="J9" s="5">
        <v>120.0</v>
      </c>
      <c r="K9" s="5">
        <v>229.0</v>
      </c>
      <c r="L9" s="5">
        <v>108.0</v>
      </c>
      <c r="M9" s="5">
        <v>459.0</v>
      </c>
      <c r="N9" s="49">
        <f t="shared" si="3"/>
        <v>351</v>
      </c>
      <c r="O9" s="5">
        <v>32.0</v>
      </c>
      <c r="P9" s="5">
        <v>5.65</v>
      </c>
      <c r="Q9" s="51">
        <f t="shared" si="4"/>
        <v>0.0491783302</v>
      </c>
      <c r="R9" s="55">
        <v>114.888</v>
      </c>
    </row>
    <row r="10" ht="22.5" customHeight="1">
      <c r="A10" s="5" t="s">
        <v>105</v>
      </c>
      <c r="B10" s="8" t="str">
        <f t="shared" si="1"/>
        <v>RKFkKcd3XHc</v>
      </c>
      <c r="C10" s="5" t="s">
        <v>92</v>
      </c>
      <c r="D10" s="48">
        <v>44172.0</v>
      </c>
      <c r="E10" s="5">
        <v>1901.0</v>
      </c>
      <c r="F10" s="5">
        <v>316.0</v>
      </c>
      <c r="G10" s="5">
        <v>14.0</v>
      </c>
      <c r="H10" s="5">
        <v>5.0</v>
      </c>
      <c r="I10" s="49">
        <f t="shared" si="2"/>
        <v>4.430379747</v>
      </c>
      <c r="J10" s="5">
        <v>120.0</v>
      </c>
      <c r="K10" s="5">
        <v>248.0</v>
      </c>
      <c r="L10" s="5">
        <v>91.0</v>
      </c>
      <c r="M10" s="5">
        <v>388.0</v>
      </c>
      <c r="N10" s="49">
        <f t="shared" si="3"/>
        <v>297</v>
      </c>
      <c r="O10" s="5">
        <v>36.0</v>
      </c>
      <c r="P10" s="5">
        <v>20.385</v>
      </c>
      <c r="Q10" s="51">
        <f t="shared" si="4"/>
        <v>0.198870288</v>
      </c>
      <c r="R10" s="55">
        <v>102.504</v>
      </c>
    </row>
    <row r="11" ht="22.5" customHeight="1">
      <c r="A11" s="5" t="s">
        <v>105</v>
      </c>
      <c r="B11" s="8" t="str">
        <f t="shared" si="1"/>
        <v>RKFkKcd3XHc</v>
      </c>
      <c r="C11" s="5" t="s">
        <v>106</v>
      </c>
      <c r="D11" s="48">
        <v>44172.0</v>
      </c>
      <c r="E11" s="5">
        <v>1901.0</v>
      </c>
      <c r="F11" s="5">
        <v>316.0</v>
      </c>
      <c r="G11" s="5">
        <v>14.0</v>
      </c>
      <c r="H11" s="5">
        <v>5.0</v>
      </c>
      <c r="I11" s="49">
        <f t="shared" si="2"/>
        <v>4.430379747</v>
      </c>
      <c r="J11" s="5">
        <v>120.0</v>
      </c>
      <c r="K11" s="5">
        <v>245.0</v>
      </c>
      <c r="L11" s="5">
        <v>99.0</v>
      </c>
      <c r="M11" s="5">
        <v>400.0</v>
      </c>
      <c r="N11" s="49">
        <f t="shared" si="3"/>
        <v>301</v>
      </c>
      <c r="O11" s="5">
        <v>34.0</v>
      </c>
      <c r="P11" s="5">
        <v>21.985</v>
      </c>
      <c r="Q11" s="51">
        <f t="shared" si="4"/>
        <v>0.213712186</v>
      </c>
      <c r="R11" s="55">
        <v>102.872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107</v>
      </c>
      <c r="B2" s="8" t="str">
        <f t="shared" ref="B2:B11" si="1">HYPERLINK("https://www.youtube.com/watch?v="&amp;A2, A2)</f>
        <v>0PiZJOozLP4</v>
      </c>
      <c r="C2" s="5" t="s">
        <v>108</v>
      </c>
      <c r="D2" s="48">
        <v>43900.0</v>
      </c>
      <c r="E2" s="5">
        <v>12.0</v>
      </c>
      <c r="F2" s="5">
        <v>1651.0</v>
      </c>
      <c r="G2" s="5">
        <v>153.0</v>
      </c>
      <c r="H2" s="5">
        <v>78.0</v>
      </c>
      <c r="I2" s="49">
        <f t="shared" ref="I2:I11" si="2">(G2/F2)*100</f>
        <v>9.267110842</v>
      </c>
      <c r="J2" s="5">
        <v>120.0</v>
      </c>
      <c r="K2" s="5">
        <v>194.0</v>
      </c>
      <c r="L2" s="5">
        <v>100.0</v>
      </c>
      <c r="M2" s="5">
        <v>356.0</v>
      </c>
      <c r="N2" s="49">
        <f t="shared" ref="N2:N11" si="3">M2-L2</f>
        <v>256</v>
      </c>
      <c r="O2" s="5">
        <v>34.0</v>
      </c>
      <c r="P2" s="5">
        <v>12.09</v>
      </c>
      <c r="Q2" s="51">
        <f t="shared" ref="Q2:Q11" si="4">DIVIDE(P2,R2)</f>
        <v>0.1293546178</v>
      </c>
      <c r="R2" s="55">
        <v>93.4639999999999</v>
      </c>
    </row>
    <row r="3" ht="22.5" customHeight="1">
      <c r="A3" s="5" t="s">
        <v>185</v>
      </c>
      <c r="B3" s="8" t="str">
        <f t="shared" si="1"/>
        <v>5CLEbihniBI</v>
      </c>
      <c r="C3" s="5" t="s">
        <v>84</v>
      </c>
      <c r="D3" s="48">
        <v>45991.0</v>
      </c>
      <c r="E3" s="5">
        <v>2103.0</v>
      </c>
      <c r="F3" s="5">
        <v>11077.0</v>
      </c>
      <c r="G3" s="5">
        <v>880.0</v>
      </c>
      <c r="H3" s="5">
        <v>94.0</v>
      </c>
      <c r="I3" s="49">
        <f t="shared" si="2"/>
        <v>7.944389275</v>
      </c>
      <c r="J3" s="5">
        <v>120.0</v>
      </c>
      <c r="K3" s="5">
        <v>182.0</v>
      </c>
      <c r="L3" s="5">
        <v>101.0</v>
      </c>
      <c r="M3" s="5">
        <v>364.0</v>
      </c>
      <c r="N3" s="49">
        <f t="shared" si="3"/>
        <v>263</v>
      </c>
      <c r="O3" s="5">
        <v>28.0</v>
      </c>
      <c r="P3" s="5">
        <v>10.065</v>
      </c>
      <c r="Q3" s="51">
        <f t="shared" si="4"/>
        <v>0.08649879684</v>
      </c>
      <c r="R3" s="55">
        <v>116.36</v>
      </c>
    </row>
    <row r="4" ht="22.5" customHeight="1">
      <c r="A4" s="5" t="s">
        <v>185</v>
      </c>
      <c r="B4" s="8" t="str">
        <f t="shared" si="1"/>
        <v>5CLEbihniBI</v>
      </c>
      <c r="C4" s="5" t="s">
        <v>186</v>
      </c>
      <c r="D4" s="48">
        <v>45991.0</v>
      </c>
      <c r="E4" s="5">
        <v>2103.0</v>
      </c>
      <c r="F4" s="5">
        <v>11077.0</v>
      </c>
      <c r="G4" s="5">
        <v>880.0</v>
      </c>
      <c r="H4" s="5">
        <v>94.0</v>
      </c>
      <c r="I4" s="49">
        <f t="shared" si="2"/>
        <v>7.944389275</v>
      </c>
      <c r="J4" s="5">
        <v>120.0</v>
      </c>
      <c r="K4" s="5">
        <v>181.0</v>
      </c>
      <c r="L4" s="5">
        <v>91.0</v>
      </c>
      <c r="M4" s="5">
        <v>384.0</v>
      </c>
      <c r="N4" s="49">
        <f t="shared" si="3"/>
        <v>293</v>
      </c>
      <c r="O4" s="5">
        <v>31.0</v>
      </c>
      <c r="P4" s="5">
        <v>11.56</v>
      </c>
      <c r="Q4" s="51">
        <f t="shared" si="4"/>
        <v>0.1003960258</v>
      </c>
      <c r="R4" s="55">
        <v>115.143999999999</v>
      </c>
    </row>
    <row r="5" ht="22.5" customHeight="1">
      <c r="A5" s="5" t="s">
        <v>187</v>
      </c>
      <c r="B5" s="8" t="str">
        <f t="shared" si="1"/>
        <v>deZu4vTh7gk</v>
      </c>
      <c r="C5" s="5" t="s">
        <v>125</v>
      </c>
      <c r="D5" s="48">
        <v>45984.0</v>
      </c>
      <c r="E5" s="5">
        <v>2096.0</v>
      </c>
      <c r="F5" s="5">
        <v>6836.0</v>
      </c>
      <c r="G5" s="5">
        <v>688.0</v>
      </c>
      <c r="H5" s="5">
        <v>64.0</v>
      </c>
      <c r="I5" s="49">
        <f t="shared" si="2"/>
        <v>10.06436513</v>
      </c>
      <c r="J5" s="5">
        <v>120.0</v>
      </c>
      <c r="K5" s="5">
        <v>178.0</v>
      </c>
      <c r="L5" s="5">
        <v>100.0</v>
      </c>
      <c r="M5" s="5">
        <v>467.0</v>
      </c>
      <c r="N5" s="49">
        <f t="shared" si="3"/>
        <v>367</v>
      </c>
      <c r="O5" s="5">
        <v>37.0</v>
      </c>
      <c r="P5" s="5">
        <v>10.57</v>
      </c>
      <c r="Q5" s="51">
        <f t="shared" si="4"/>
        <v>0.09363926293</v>
      </c>
      <c r="R5" s="55">
        <v>112.88</v>
      </c>
    </row>
    <row r="6" ht="22.5" customHeight="1">
      <c r="A6" s="5" t="s">
        <v>188</v>
      </c>
      <c r="B6" s="8" t="str">
        <f t="shared" si="1"/>
        <v>eLQv5nOTgIc</v>
      </c>
      <c r="C6" s="5" t="s">
        <v>84</v>
      </c>
      <c r="D6" s="48">
        <v>45962.0</v>
      </c>
      <c r="E6" s="5">
        <v>2074.0</v>
      </c>
      <c r="F6" s="5">
        <v>8678.0</v>
      </c>
      <c r="G6" s="5">
        <v>841.0</v>
      </c>
      <c r="H6" s="5">
        <v>81.0</v>
      </c>
      <c r="I6" s="49">
        <f t="shared" si="2"/>
        <v>9.691173081</v>
      </c>
      <c r="J6" s="5">
        <v>120.0</v>
      </c>
      <c r="K6" s="5">
        <v>184.0</v>
      </c>
      <c r="L6" s="5">
        <v>103.0</v>
      </c>
      <c r="M6" s="5">
        <v>423.0</v>
      </c>
      <c r="N6" s="49">
        <f t="shared" si="3"/>
        <v>320</v>
      </c>
      <c r="O6" s="5">
        <v>31.0</v>
      </c>
      <c r="P6" s="5">
        <v>10.14</v>
      </c>
      <c r="Q6" s="51">
        <f t="shared" si="4"/>
        <v>0.09200116136</v>
      </c>
      <c r="R6" s="55">
        <v>110.215999999999</v>
      </c>
    </row>
    <row r="7" ht="22.5" customHeight="1">
      <c r="A7" s="5" t="s">
        <v>189</v>
      </c>
      <c r="B7" s="8" t="str">
        <f t="shared" si="1"/>
        <v>hxJ6ULBGoXg</v>
      </c>
      <c r="C7" s="5" t="s">
        <v>125</v>
      </c>
      <c r="D7" s="48">
        <v>45977.0</v>
      </c>
      <c r="E7" s="5">
        <v>2089.0</v>
      </c>
      <c r="F7" s="5">
        <v>8076.0</v>
      </c>
      <c r="G7" s="5">
        <v>912.0</v>
      </c>
      <c r="H7" s="5">
        <v>94.0</v>
      </c>
      <c r="I7" s="49">
        <f t="shared" si="2"/>
        <v>11.29271917</v>
      </c>
      <c r="J7" s="5">
        <v>120.0</v>
      </c>
      <c r="K7" s="5">
        <v>179.0</v>
      </c>
      <c r="L7" s="5">
        <v>100.0</v>
      </c>
      <c r="M7" s="5">
        <v>372.0</v>
      </c>
      <c r="N7" s="49">
        <f t="shared" si="3"/>
        <v>272</v>
      </c>
      <c r="O7" s="5">
        <v>32.0</v>
      </c>
      <c r="P7" s="5">
        <v>8.445</v>
      </c>
      <c r="Q7" s="51">
        <f t="shared" si="4"/>
        <v>0.0839863951</v>
      </c>
      <c r="R7" s="55">
        <v>100.551999999999</v>
      </c>
    </row>
    <row r="8" ht="22.5" customHeight="1">
      <c r="A8" s="5" t="s">
        <v>109</v>
      </c>
      <c r="B8" s="8" t="str">
        <f t="shared" si="1"/>
        <v>K_qB2woAxhY</v>
      </c>
      <c r="C8" s="5" t="s">
        <v>110</v>
      </c>
      <c r="D8" s="48">
        <v>44048.0</v>
      </c>
      <c r="E8" s="5">
        <v>160.0</v>
      </c>
      <c r="F8" s="5">
        <v>29089.0</v>
      </c>
      <c r="G8" s="5">
        <v>1231.0</v>
      </c>
      <c r="H8" s="5">
        <v>194.0</v>
      </c>
      <c r="I8" s="49">
        <f t="shared" si="2"/>
        <v>4.231840215</v>
      </c>
      <c r="J8" s="5">
        <v>120.0</v>
      </c>
      <c r="K8" s="5">
        <v>216.0</v>
      </c>
      <c r="L8" s="5">
        <v>123.0</v>
      </c>
      <c r="M8" s="5">
        <v>404.0</v>
      </c>
      <c r="N8" s="49">
        <f t="shared" si="3"/>
        <v>281</v>
      </c>
      <c r="O8" s="5">
        <v>35.0</v>
      </c>
      <c r="P8" s="5">
        <v>6.785</v>
      </c>
      <c r="Q8" s="51">
        <f t="shared" si="4"/>
        <v>0.05926385298</v>
      </c>
      <c r="R8" s="55">
        <v>114.488</v>
      </c>
    </row>
    <row r="9" ht="22.5" customHeight="1">
      <c r="A9" s="5" t="s">
        <v>109</v>
      </c>
      <c r="B9" s="8" t="str">
        <f t="shared" si="1"/>
        <v>K_qB2woAxhY</v>
      </c>
      <c r="C9" s="5" t="s">
        <v>111</v>
      </c>
      <c r="D9" s="48">
        <v>44048.0</v>
      </c>
      <c r="E9" s="5">
        <v>160.0</v>
      </c>
      <c r="F9" s="5">
        <v>29089.0</v>
      </c>
      <c r="G9" s="5">
        <v>1231.0</v>
      </c>
      <c r="H9" s="5">
        <v>194.0</v>
      </c>
      <c r="I9" s="49">
        <f t="shared" si="2"/>
        <v>4.231840215</v>
      </c>
      <c r="J9" s="5">
        <v>120.0</v>
      </c>
      <c r="K9" s="5">
        <v>207.0</v>
      </c>
      <c r="L9" s="5">
        <v>114.0</v>
      </c>
      <c r="M9" s="5">
        <v>378.0</v>
      </c>
      <c r="N9" s="49">
        <f t="shared" si="3"/>
        <v>264</v>
      </c>
      <c r="O9" s="5">
        <v>33.0</v>
      </c>
      <c r="P9" s="5">
        <v>7.575</v>
      </c>
      <c r="Q9" s="51">
        <f t="shared" si="4"/>
        <v>0.06539191989</v>
      </c>
      <c r="R9" s="55">
        <v>115.84</v>
      </c>
    </row>
    <row r="10" ht="22.5" customHeight="1">
      <c r="A10" s="5" t="s">
        <v>112</v>
      </c>
      <c r="B10" s="8" t="str">
        <f t="shared" si="1"/>
        <v>shwKo1CmOFo</v>
      </c>
      <c r="C10" s="5" t="s">
        <v>113</v>
      </c>
      <c r="D10" s="48">
        <v>43995.0</v>
      </c>
      <c r="E10" s="5">
        <v>107.0</v>
      </c>
      <c r="F10" s="5">
        <v>2111.0</v>
      </c>
      <c r="G10" s="5">
        <v>171.0</v>
      </c>
      <c r="H10" s="5">
        <v>65.0</v>
      </c>
      <c r="I10" s="49">
        <f t="shared" si="2"/>
        <v>8.100426338</v>
      </c>
      <c r="J10" s="5">
        <v>120.0</v>
      </c>
      <c r="K10" s="5">
        <v>201.0</v>
      </c>
      <c r="L10" s="5">
        <v>111.0</v>
      </c>
      <c r="M10" s="5">
        <v>379.0</v>
      </c>
      <c r="N10" s="49">
        <f t="shared" si="3"/>
        <v>268</v>
      </c>
      <c r="O10" s="5">
        <v>41.0</v>
      </c>
      <c r="P10" s="5">
        <v>11.115</v>
      </c>
      <c r="Q10" s="51">
        <f t="shared" si="4"/>
        <v>0.111052274</v>
      </c>
      <c r="R10" s="55">
        <v>100.087999999999</v>
      </c>
    </row>
    <row r="11" ht="22.5" customHeight="1">
      <c r="A11" s="5" t="s">
        <v>114</v>
      </c>
      <c r="B11" s="8" t="str">
        <f t="shared" si="1"/>
        <v>xbG6QkNnhn8</v>
      </c>
      <c r="C11" s="5" t="s">
        <v>115</v>
      </c>
      <c r="D11" s="48">
        <v>44156.0</v>
      </c>
      <c r="E11" s="5">
        <v>268.0</v>
      </c>
      <c r="F11" s="5">
        <v>53005.0</v>
      </c>
      <c r="G11" s="5">
        <v>2423.0</v>
      </c>
      <c r="H11" s="5">
        <v>95.0</v>
      </c>
      <c r="I11" s="49">
        <f t="shared" si="2"/>
        <v>4.571266862</v>
      </c>
      <c r="J11" s="5">
        <v>120.0</v>
      </c>
      <c r="K11" s="5">
        <v>206.0</v>
      </c>
      <c r="L11" s="5">
        <v>92.0</v>
      </c>
      <c r="M11" s="5">
        <v>446.0</v>
      </c>
      <c r="N11" s="49">
        <f t="shared" si="3"/>
        <v>354</v>
      </c>
      <c r="O11" s="5">
        <v>40.0</v>
      </c>
      <c r="P11" s="5">
        <v>8.005</v>
      </c>
      <c r="Q11" s="51">
        <f t="shared" si="4"/>
        <v>0.07134581105</v>
      </c>
      <c r="R11" s="55">
        <v>112.199999999999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116</v>
      </c>
      <c r="B2" s="8" t="str">
        <f t="shared" ref="B2:B11" si="1">HYPERLINK("https://www.youtube.com/watch?v="&amp;A2, A2)</f>
        <v>7Mc3Lq0fYKo</v>
      </c>
      <c r="C2" s="5" t="s">
        <v>92</v>
      </c>
      <c r="D2" s="48">
        <v>42040.0</v>
      </c>
      <c r="E2" s="5">
        <v>3089.0</v>
      </c>
      <c r="F2" s="5">
        <v>875.0</v>
      </c>
      <c r="G2" s="5">
        <v>53.0</v>
      </c>
      <c r="H2" s="5">
        <v>14.0</v>
      </c>
      <c r="I2" s="49">
        <f t="shared" ref="I2:I11" si="2">(G2/F2)*100</f>
        <v>6.057142857</v>
      </c>
      <c r="J2" s="5">
        <v>120.0</v>
      </c>
      <c r="K2" s="5">
        <v>188.0</v>
      </c>
      <c r="L2" s="5">
        <v>112.0</v>
      </c>
      <c r="M2" s="5">
        <v>478.0</v>
      </c>
      <c r="N2" s="49">
        <f t="shared" ref="N2:N11" si="3">M2-L2</f>
        <v>366</v>
      </c>
      <c r="O2" s="5">
        <v>39.0</v>
      </c>
      <c r="P2" s="5">
        <v>31.935</v>
      </c>
      <c r="Q2" s="51">
        <f t="shared" ref="Q2:Q11" si="4">DIVIDE(P2,R2)</f>
        <v>0.3510883905</v>
      </c>
      <c r="R2" s="55">
        <v>90.96</v>
      </c>
    </row>
    <row r="3" ht="22.5" customHeight="1">
      <c r="A3" s="5" t="s">
        <v>117</v>
      </c>
      <c r="B3" s="8" t="str">
        <f t="shared" si="1"/>
        <v>H413bPMjjOI</v>
      </c>
      <c r="C3" s="5" t="s">
        <v>118</v>
      </c>
      <c r="D3" s="48">
        <v>42032.0</v>
      </c>
      <c r="E3" s="5">
        <v>3081.0</v>
      </c>
      <c r="F3" s="5">
        <v>1433.0</v>
      </c>
      <c r="G3" s="5">
        <v>57.0</v>
      </c>
      <c r="H3" s="5">
        <v>3.0</v>
      </c>
      <c r="I3" s="49">
        <f t="shared" si="2"/>
        <v>3.977669225</v>
      </c>
      <c r="J3" s="5">
        <v>120.0</v>
      </c>
      <c r="K3" s="5">
        <v>191.0</v>
      </c>
      <c r="L3" s="5">
        <v>126.0</v>
      </c>
      <c r="M3" s="5">
        <v>441.0</v>
      </c>
      <c r="N3" s="49">
        <f t="shared" si="3"/>
        <v>315</v>
      </c>
      <c r="O3" s="5">
        <v>41.0</v>
      </c>
      <c r="P3" s="5">
        <v>22.94</v>
      </c>
      <c r="Q3" s="51">
        <f t="shared" si="4"/>
        <v>0.252955187</v>
      </c>
      <c r="R3" s="55">
        <v>90.6879999999999</v>
      </c>
    </row>
    <row r="4" ht="22.5" customHeight="1">
      <c r="A4" s="5" t="s">
        <v>190</v>
      </c>
      <c r="B4" s="8" t="str">
        <f t="shared" si="1"/>
        <v>hHcgVf-xhSI</v>
      </c>
      <c r="C4" s="5" t="s">
        <v>191</v>
      </c>
      <c r="D4" s="48">
        <v>45970.0</v>
      </c>
      <c r="E4" s="5">
        <v>7018.0</v>
      </c>
      <c r="F4" s="5">
        <v>5868.0</v>
      </c>
      <c r="G4" s="5">
        <v>700.0</v>
      </c>
      <c r="H4" s="5">
        <v>91.0</v>
      </c>
      <c r="I4" s="49">
        <f t="shared" si="2"/>
        <v>11.92910702</v>
      </c>
      <c r="J4" s="5">
        <v>120.0</v>
      </c>
      <c r="K4" s="5">
        <v>194.0</v>
      </c>
      <c r="L4" s="5">
        <v>113.0</v>
      </c>
      <c r="M4" s="5">
        <v>484.0</v>
      </c>
      <c r="N4" s="49">
        <f t="shared" si="3"/>
        <v>371</v>
      </c>
      <c r="O4" s="5">
        <v>47.0</v>
      </c>
      <c r="P4" s="5">
        <v>11.48</v>
      </c>
      <c r="Q4" s="51">
        <f t="shared" si="4"/>
        <v>0.1160158461</v>
      </c>
      <c r="R4" s="55">
        <v>98.9519999999999</v>
      </c>
    </row>
    <row r="5" ht="22.5" customHeight="1">
      <c r="A5" s="5" t="s">
        <v>192</v>
      </c>
      <c r="B5" s="8" t="str">
        <f t="shared" si="1"/>
        <v>ISd5oTsRIcs</v>
      </c>
      <c r="C5" s="5" t="s">
        <v>193</v>
      </c>
      <c r="D5" s="48">
        <v>45998.0</v>
      </c>
      <c r="E5" s="5">
        <v>7046.0</v>
      </c>
      <c r="F5" s="5">
        <v>1594.0</v>
      </c>
      <c r="G5" s="5">
        <v>282.0</v>
      </c>
      <c r="H5" s="5">
        <v>27.0</v>
      </c>
      <c r="I5" s="49">
        <f t="shared" si="2"/>
        <v>17.69134253</v>
      </c>
      <c r="J5" s="5">
        <v>120.0</v>
      </c>
      <c r="K5" s="5">
        <v>184.0</v>
      </c>
      <c r="L5" s="5">
        <v>99.0</v>
      </c>
      <c r="M5" s="5">
        <v>511.0</v>
      </c>
      <c r="N5" s="49">
        <f t="shared" si="3"/>
        <v>412</v>
      </c>
      <c r="O5" s="5">
        <v>44.0</v>
      </c>
      <c r="P5" s="5">
        <v>9.5</v>
      </c>
      <c r="Q5" s="51">
        <f t="shared" si="4"/>
        <v>0.09503801521</v>
      </c>
      <c r="R5" s="55">
        <v>99.96</v>
      </c>
    </row>
    <row r="6" ht="22.5" customHeight="1">
      <c r="A6" s="5" t="s">
        <v>119</v>
      </c>
      <c r="B6" s="8" t="str">
        <f t="shared" si="1"/>
        <v>Lb80YuAMlmY</v>
      </c>
      <c r="C6" s="5" t="s">
        <v>120</v>
      </c>
      <c r="D6" s="48">
        <v>42051.0</v>
      </c>
      <c r="E6" s="5">
        <v>3100.0</v>
      </c>
      <c r="F6" s="5">
        <v>704.0</v>
      </c>
      <c r="G6" s="5">
        <v>37.0</v>
      </c>
      <c r="H6" s="5">
        <v>5.0</v>
      </c>
      <c r="I6" s="49">
        <f t="shared" si="2"/>
        <v>5.255681818</v>
      </c>
      <c r="J6" s="5">
        <v>120.0</v>
      </c>
      <c r="K6" s="5">
        <v>192.0</v>
      </c>
      <c r="L6" s="5">
        <v>89.0</v>
      </c>
      <c r="M6" s="5">
        <v>381.0</v>
      </c>
      <c r="N6" s="49">
        <f t="shared" si="3"/>
        <v>292</v>
      </c>
      <c r="O6" s="5">
        <v>40.0</v>
      </c>
      <c r="P6" s="5">
        <v>30.295</v>
      </c>
      <c r="Q6" s="51">
        <f t="shared" si="4"/>
        <v>0.3617918219</v>
      </c>
      <c r="R6" s="55">
        <v>83.736</v>
      </c>
    </row>
    <row r="7" ht="22.5" customHeight="1">
      <c r="A7" s="5" t="s">
        <v>194</v>
      </c>
      <c r="B7" s="8" t="str">
        <f t="shared" si="1"/>
        <v>MvRnMh0J_Ik</v>
      </c>
      <c r="C7" s="5" t="s">
        <v>195</v>
      </c>
      <c r="D7" s="48">
        <v>45930.0</v>
      </c>
      <c r="E7" s="5">
        <v>6978.0</v>
      </c>
      <c r="F7" s="5">
        <v>11297.0</v>
      </c>
      <c r="G7" s="5">
        <v>370.0</v>
      </c>
      <c r="H7" s="5">
        <v>49.0</v>
      </c>
      <c r="I7" s="49">
        <f t="shared" si="2"/>
        <v>3.275205807</v>
      </c>
      <c r="J7" s="5">
        <v>120.0</v>
      </c>
      <c r="K7" s="5">
        <v>202.0</v>
      </c>
      <c r="L7" s="5">
        <v>135.0</v>
      </c>
      <c r="M7" s="5">
        <v>467.0</v>
      </c>
      <c r="N7" s="49">
        <f t="shared" si="3"/>
        <v>332</v>
      </c>
      <c r="O7" s="5">
        <v>41.0</v>
      </c>
      <c r="P7" s="5">
        <v>11.33</v>
      </c>
      <c r="Q7" s="51">
        <f t="shared" si="4"/>
        <v>0.117113206</v>
      </c>
      <c r="R7" s="55">
        <v>96.744</v>
      </c>
    </row>
    <row r="8" ht="22.5" customHeight="1">
      <c r="A8" s="5" t="s">
        <v>196</v>
      </c>
      <c r="B8" s="8" t="str">
        <f t="shared" si="1"/>
        <v>rKb3vCdhcqQ</v>
      </c>
      <c r="C8" s="5" t="s">
        <v>148</v>
      </c>
      <c r="D8" s="48">
        <v>45991.0</v>
      </c>
      <c r="E8" s="5">
        <v>7039.0</v>
      </c>
      <c r="F8" s="5">
        <v>5343.0</v>
      </c>
      <c r="G8" s="5">
        <v>509.0</v>
      </c>
      <c r="H8" s="5">
        <v>135.0</v>
      </c>
      <c r="I8" s="49">
        <f t="shared" si="2"/>
        <v>9.526483249</v>
      </c>
      <c r="J8" s="5">
        <v>120.0</v>
      </c>
      <c r="K8" s="5">
        <v>200.0</v>
      </c>
      <c r="L8" s="5">
        <v>141.0</v>
      </c>
      <c r="M8" s="5">
        <v>455.0</v>
      </c>
      <c r="N8" s="49">
        <f t="shared" si="3"/>
        <v>314</v>
      </c>
      <c r="O8" s="5">
        <v>42.0</v>
      </c>
      <c r="P8" s="5">
        <v>8.215</v>
      </c>
      <c r="Q8" s="51">
        <f t="shared" si="4"/>
        <v>0.08128512626</v>
      </c>
      <c r="R8" s="55">
        <v>101.064</v>
      </c>
    </row>
    <row r="9" ht="22.5" customHeight="1">
      <c r="A9" s="5" t="s">
        <v>121</v>
      </c>
      <c r="B9" s="8" t="str">
        <f t="shared" si="1"/>
        <v>VSnbNDkbuXI</v>
      </c>
      <c r="C9" s="5" t="s">
        <v>79</v>
      </c>
      <c r="D9" s="48">
        <v>42038.0</v>
      </c>
      <c r="E9" s="5">
        <v>3087.0</v>
      </c>
      <c r="F9" s="5">
        <v>1766.0</v>
      </c>
      <c r="G9" s="5">
        <v>79.0</v>
      </c>
      <c r="H9" s="5">
        <v>8.0</v>
      </c>
      <c r="I9" s="49">
        <f t="shared" si="2"/>
        <v>4.473386183</v>
      </c>
      <c r="J9" s="5">
        <v>120.0</v>
      </c>
      <c r="K9" s="5">
        <v>186.0</v>
      </c>
      <c r="L9" s="5">
        <v>129.0</v>
      </c>
      <c r="M9" s="5">
        <v>339.0</v>
      </c>
      <c r="N9" s="49">
        <f t="shared" si="3"/>
        <v>210</v>
      </c>
      <c r="O9" s="5">
        <v>32.0</v>
      </c>
      <c r="P9" s="5">
        <v>30.12</v>
      </c>
      <c r="Q9" s="51">
        <f t="shared" si="4"/>
        <v>0.316413144</v>
      </c>
      <c r="R9" s="55">
        <v>95.192</v>
      </c>
    </row>
    <row r="10" ht="22.5" customHeight="1">
      <c r="A10" s="5" t="s">
        <v>197</v>
      </c>
      <c r="B10" s="8" t="str">
        <f t="shared" si="1"/>
        <v>wu-d1ChHCRk</v>
      </c>
      <c r="C10" s="5" t="s">
        <v>64</v>
      </c>
      <c r="D10" s="48">
        <v>45956.0</v>
      </c>
      <c r="E10" s="5">
        <v>7004.0</v>
      </c>
      <c r="F10" s="5">
        <v>5640.0</v>
      </c>
      <c r="G10" s="5">
        <v>579.0</v>
      </c>
      <c r="H10" s="5">
        <v>57.0</v>
      </c>
      <c r="I10" s="49">
        <f t="shared" si="2"/>
        <v>10.26595745</v>
      </c>
      <c r="J10" s="5">
        <v>120.0</v>
      </c>
      <c r="K10" s="5">
        <v>195.0</v>
      </c>
      <c r="L10" s="5">
        <v>116.0</v>
      </c>
      <c r="M10" s="5">
        <v>454.0</v>
      </c>
      <c r="N10" s="49">
        <f t="shared" si="3"/>
        <v>338</v>
      </c>
      <c r="O10" s="5">
        <v>48.0</v>
      </c>
      <c r="P10" s="5">
        <v>8.0</v>
      </c>
      <c r="Q10" s="51">
        <f t="shared" si="4"/>
        <v>0.07925186242</v>
      </c>
      <c r="R10" s="55">
        <v>100.944</v>
      </c>
    </row>
    <row r="11" ht="22.5" customHeight="1">
      <c r="A11" s="5" t="s">
        <v>122</v>
      </c>
      <c r="B11" s="8" t="str">
        <f t="shared" si="1"/>
        <v>Yn8gzpTt_6E</v>
      </c>
      <c r="C11" s="5" t="s">
        <v>123</v>
      </c>
      <c r="D11" s="48">
        <v>42032.0</v>
      </c>
      <c r="E11" s="5">
        <v>3080.0</v>
      </c>
      <c r="F11" s="5">
        <v>2491.0</v>
      </c>
      <c r="G11" s="5">
        <v>136.0</v>
      </c>
      <c r="H11" s="5">
        <v>12.0</v>
      </c>
      <c r="I11" s="49">
        <f t="shared" si="2"/>
        <v>5.459654757</v>
      </c>
      <c r="J11" s="5">
        <v>120.0</v>
      </c>
      <c r="K11" s="5">
        <v>194.0</v>
      </c>
      <c r="L11" s="5">
        <v>110.0</v>
      </c>
      <c r="M11" s="5">
        <v>371.0</v>
      </c>
      <c r="N11" s="49">
        <f t="shared" si="3"/>
        <v>261</v>
      </c>
      <c r="O11" s="5">
        <v>37.0</v>
      </c>
      <c r="P11" s="5">
        <v>18.24</v>
      </c>
      <c r="Q11" s="51">
        <f t="shared" si="4"/>
        <v>0.1969762419</v>
      </c>
      <c r="R11" s="55">
        <v>92.5999999999999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198</v>
      </c>
      <c r="B2" s="8" t="str">
        <f t="shared" ref="B2:B11" si="1">HYPERLINK("https://www.youtube.com/watch?v="&amp;A2, A2)</f>
        <v>7CsdKBg2KuE</v>
      </c>
      <c r="C2" s="5" t="s">
        <v>199</v>
      </c>
      <c r="D2" s="48">
        <v>45987.0</v>
      </c>
      <c r="E2" s="5">
        <v>3927.0</v>
      </c>
      <c r="F2" s="5">
        <v>14115.0</v>
      </c>
      <c r="G2" s="5">
        <v>947.0</v>
      </c>
      <c r="H2" s="5">
        <v>179.0</v>
      </c>
      <c r="I2" s="49">
        <f t="shared" ref="I2:I11" si="2">(G2/F2)*100</f>
        <v>6.709174637</v>
      </c>
      <c r="J2" s="5">
        <v>120.0</v>
      </c>
      <c r="K2" s="5">
        <v>230.0</v>
      </c>
      <c r="L2" s="5">
        <v>171.0</v>
      </c>
      <c r="M2" s="5">
        <v>379.0</v>
      </c>
      <c r="N2" s="49">
        <f t="shared" ref="N2:N11" si="3">M2-L2</f>
        <v>208</v>
      </c>
      <c r="O2" s="5">
        <v>44.0</v>
      </c>
      <c r="P2" s="5">
        <v>3.95</v>
      </c>
      <c r="Q2" s="51">
        <f t="shared" ref="Q2:Q11" si="4">DIVIDE(P2,R2)</f>
        <v>0.03526533819</v>
      </c>
      <c r="R2" s="55">
        <v>112.008</v>
      </c>
    </row>
    <row r="3" ht="22.5" customHeight="1">
      <c r="A3" s="5" t="s">
        <v>200</v>
      </c>
      <c r="B3" s="8" t="str">
        <f t="shared" si="1"/>
        <v>9IYcyG7gcP4</v>
      </c>
      <c r="C3" s="5" t="s">
        <v>201</v>
      </c>
      <c r="D3" s="48">
        <v>45994.0</v>
      </c>
      <c r="E3" s="5">
        <v>3934.0</v>
      </c>
      <c r="F3" s="5">
        <v>8589.0</v>
      </c>
      <c r="G3" s="5">
        <v>610.0</v>
      </c>
      <c r="H3" s="5">
        <v>67.0</v>
      </c>
      <c r="I3" s="49">
        <f t="shared" si="2"/>
        <v>7.102107347</v>
      </c>
      <c r="J3" s="5">
        <v>120.0</v>
      </c>
      <c r="K3" s="5">
        <v>219.0</v>
      </c>
      <c r="L3" s="5">
        <v>101.0</v>
      </c>
      <c r="M3" s="5">
        <v>495.0</v>
      </c>
      <c r="N3" s="49">
        <f t="shared" si="3"/>
        <v>394</v>
      </c>
      <c r="O3" s="5">
        <v>45.0</v>
      </c>
      <c r="P3" s="5">
        <v>4.005</v>
      </c>
      <c r="Q3" s="51">
        <f t="shared" si="4"/>
        <v>0.03429408138</v>
      </c>
      <c r="R3" s="55">
        <v>116.784</v>
      </c>
    </row>
    <row r="4" ht="22.5" customHeight="1">
      <c r="A4" s="5" t="s">
        <v>124</v>
      </c>
      <c r="B4" s="8" t="str">
        <f t="shared" si="1"/>
        <v>FLmk70mo4DY</v>
      </c>
      <c r="C4" s="5" t="s">
        <v>125</v>
      </c>
      <c r="D4" s="48">
        <v>42124.0</v>
      </c>
      <c r="E4" s="5">
        <v>64.0</v>
      </c>
      <c r="F4" s="5">
        <v>2144.0</v>
      </c>
      <c r="G4" s="5">
        <v>91.0</v>
      </c>
      <c r="H4" s="5">
        <v>8.0</v>
      </c>
      <c r="I4" s="49">
        <f t="shared" si="2"/>
        <v>4.244402985</v>
      </c>
      <c r="J4" s="5">
        <v>120.0</v>
      </c>
      <c r="K4" s="5">
        <v>219.0</v>
      </c>
      <c r="L4" s="5">
        <v>90.0</v>
      </c>
      <c r="M4" s="5">
        <v>417.0</v>
      </c>
      <c r="N4" s="49">
        <f t="shared" si="3"/>
        <v>327</v>
      </c>
      <c r="O4" s="5">
        <v>41.0</v>
      </c>
      <c r="P4" s="5">
        <v>6.225</v>
      </c>
      <c r="Q4" s="51">
        <f t="shared" si="4"/>
        <v>0.05323424779</v>
      </c>
      <c r="R4" s="55">
        <v>116.936</v>
      </c>
    </row>
    <row r="5" ht="22.5" customHeight="1">
      <c r="A5" s="5" t="s">
        <v>126</v>
      </c>
      <c r="B5" s="8" t="str">
        <f t="shared" si="1"/>
        <v>FsitBJiDHS4</v>
      </c>
      <c r="C5" s="5" t="s">
        <v>127</v>
      </c>
      <c r="D5" s="48">
        <v>42063.0</v>
      </c>
      <c r="E5" s="5">
        <v>3.0</v>
      </c>
      <c r="F5" s="5">
        <v>6919.0</v>
      </c>
      <c r="G5" s="5">
        <v>302.0</v>
      </c>
      <c r="H5" s="5">
        <v>27.0</v>
      </c>
      <c r="I5" s="49">
        <f t="shared" si="2"/>
        <v>4.3647926</v>
      </c>
      <c r="J5" s="5">
        <v>120.0</v>
      </c>
      <c r="K5" s="5">
        <v>206.0</v>
      </c>
      <c r="L5" s="5">
        <v>99.0</v>
      </c>
      <c r="M5" s="5">
        <v>383.0</v>
      </c>
      <c r="N5" s="49">
        <f t="shared" si="3"/>
        <v>284</v>
      </c>
      <c r="O5" s="5">
        <v>31.0</v>
      </c>
      <c r="P5" s="5">
        <v>7.045</v>
      </c>
      <c r="Q5" s="51">
        <f t="shared" si="4"/>
        <v>0.06575754182</v>
      </c>
      <c r="R5" s="55">
        <v>107.136</v>
      </c>
    </row>
    <row r="6" ht="22.5" customHeight="1">
      <c r="A6" s="5" t="s">
        <v>128</v>
      </c>
      <c r="B6" s="8" t="str">
        <f t="shared" si="1"/>
        <v>HRavIioKRCM</v>
      </c>
      <c r="C6" s="5" t="s">
        <v>129</v>
      </c>
      <c r="D6" s="48">
        <v>42063.0</v>
      </c>
      <c r="E6" s="5">
        <v>3.0</v>
      </c>
      <c r="F6" s="5">
        <v>3454.0</v>
      </c>
      <c r="G6" s="5">
        <v>124.0</v>
      </c>
      <c r="H6" s="5">
        <v>6.0</v>
      </c>
      <c r="I6" s="49">
        <f t="shared" si="2"/>
        <v>3.590040533</v>
      </c>
      <c r="J6" s="5">
        <v>120.0</v>
      </c>
      <c r="K6" s="5">
        <v>212.0</v>
      </c>
      <c r="L6" s="5">
        <v>90.0</v>
      </c>
      <c r="M6" s="5">
        <v>404.0</v>
      </c>
      <c r="N6" s="49">
        <f t="shared" si="3"/>
        <v>314</v>
      </c>
      <c r="O6" s="5">
        <v>33.0</v>
      </c>
      <c r="P6" s="5">
        <v>6.235</v>
      </c>
      <c r="Q6" s="51">
        <f t="shared" si="4"/>
        <v>0.05611051116</v>
      </c>
      <c r="R6" s="55">
        <v>111.119999999999</v>
      </c>
    </row>
    <row r="7" ht="22.5" customHeight="1">
      <c r="A7" s="5" t="s">
        <v>202</v>
      </c>
      <c r="B7" s="8" t="str">
        <f t="shared" si="1"/>
        <v>KA-V1IOjZHg</v>
      </c>
      <c r="C7" s="5" t="s">
        <v>203</v>
      </c>
      <c r="D7" s="48">
        <v>45969.0</v>
      </c>
      <c r="E7" s="5">
        <v>3909.0</v>
      </c>
      <c r="F7" s="5">
        <v>11746.0</v>
      </c>
      <c r="G7" s="5">
        <v>799.0</v>
      </c>
      <c r="H7" s="5">
        <v>36.0</v>
      </c>
      <c r="I7" s="49">
        <f t="shared" si="2"/>
        <v>6.802315682</v>
      </c>
      <c r="J7" s="5">
        <v>120.0</v>
      </c>
      <c r="K7" s="5">
        <v>204.0</v>
      </c>
      <c r="L7" s="5">
        <v>100.0</v>
      </c>
      <c r="M7" s="5">
        <v>454.0</v>
      </c>
      <c r="N7" s="49">
        <f t="shared" si="3"/>
        <v>354</v>
      </c>
      <c r="O7" s="5">
        <v>39.0</v>
      </c>
      <c r="P7" s="5">
        <v>6.04</v>
      </c>
      <c r="Q7" s="51">
        <f t="shared" si="4"/>
        <v>0.05582255083</v>
      </c>
      <c r="R7" s="55">
        <v>108.199999999999</v>
      </c>
    </row>
    <row r="8" ht="22.5" customHeight="1">
      <c r="A8" s="5" t="s">
        <v>130</v>
      </c>
      <c r="B8" s="8" t="str">
        <f t="shared" si="1"/>
        <v>o2huOwUSQXE</v>
      </c>
      <c r="C8" s="5" t="s">
        <v>131</v>
      </c>
      <c r="D8" s="48">
        <v>42090.0</v>
      </c>
      <c r="E8" s="5">
        <v>30.0</v>
      </c>
      <c r="F8" s="5">
        <v>2075.0</v>
      </c>
      <c r="G8" s="5">
        <v>83.0</v>
      </c>
      <c r="H8" s="5">
        <v>7.0</v>
      </c>
      <c r="I8" s="49">
        <f t="shared" si="2"/>
        <v>4</v>
      </c>
      <c r="J8" s="5">
        <v>120.0</v>
      </c>
      <c r="K8" s="5">
        <v>205.0</v>
      </c>
      <c r="L8" s="5">
        <v>88.0</v>
      </c>
      <c r="M8" s="5">
        <v>406.0</v>
      </c>
      <c r="N8" s="49">
        <f t="shared" si="3"/>
        <v>318</v>
      </c>
      <c r="O8" s="5">
        <v>39.0</v>
      </c>
      <c r="P8" s="5">
        <v>9.73</v>
      </c>
      <c r="Q8" s="51">
        <f t="shared" si="4"/>
        <v>0.08853180958</v>
      </c>
      <c r="R8" s="55">
        <v>109.904</v>
      </c>
    </row>
    <row r="9" ht="22.5" customHeight="1">
      <c r="A9" s="5" t="s">
        <v>204</v>
      </c>
      <c r="B9" s="8" t="str">
        <f t="shared" si="1"/>
        <v>RlmdMn8whn8</v>
      </c>
      <c r="C9" s="5" t="s">
        <v>153</v>
      </c>
      <c r="D9" s="48">
        <v>45983.0</v>
      </c>
      <c r="E9" s="5">
        <v>3923.0</v>
      </c>
      <c r="F9" s="5">
        <v>10021.0</v>
      </c>
      <c r="G9" s="5">
        <v>762.0</v>
      </c>
      <c r="H9" s="5">
        <v>55.0</v>
      </c>
      <c r="I9" s="49">
        <f t="shared" si="2"/>
        <v>7.604031534</v>
      </c>
      <c r="J9" s="5">
        <v>120.0</v>
      </c>
      <c r="K9" s="5">
        <v>218.0</v>
      </c>
      <c r="L9" s="5">
        <v>108.0</v>
      </c>
      <c r="M9" s="5">
        <v>390.0</v>
      </c>
      <c r="N9" s="49">
        <f t="shared" si="3"/>
        <v>282</v>
      </c>
      <c r="O9" s="5">
        <v>39.0</v>
      </c>
      <c r="P9" s="5">
        <v>5.05</v>
      </c>
      <c r="Q9" s="51">
        <f t="shared" si="4"/>
        <v>0.04392220985</v>
      </c>
      <c r="R9" s="55">
        <v>114.976</v>
      </c>
    </row>
    <row r="10" ht="22.5" customHeight="1">
      <c r="A10" s="5" t="s">
        <v>205</v>
      </c>
      <c r="B10" s="8" t="str">
        <f t="shared" si="1"/>
        <v>Ss6p5ASFs0I</v>
      </c>
      <c r="C10" s="5" t="s">
        <v>193</v>
      </c>
      <c r="D10" s="48">
        <v>45980.0</v>
      </c>
      <c r="E10" s="5">
        <v>3920.0</v>
      </c>
      <c r="F10" s="5">
        <v>10138.0</v>
      </c>
      <c r="G10" s="5">
        <v>717.0</v>
      </c>
      <c r="H10" s="5">
        <v>42.0</v>
      </c>
      <c r="I10" s="49">
        <f t="shared" si="2"/>
        <v>7.072400868</v>
      </c>
      <c r="J10" s="5">
        <v>120.0</v>
      </c>
      <c r="K10" s="5">
        <v>201.0</v>
      </c>
      <c r="L10" s="5">
        <v>101.0</v>
      </c>
      <c r="M10" s="5">
        <v>512.0</v>
      </c>
      <c r="N10" s="49">
        <f t="shared" si="3"/>
        <v>411</v>
      </c>
      <c r="O10" s="5">
        <v>39.0</v>
      </c>
      <c r="P10" s="5">
        <v>2.67</v>
      </c>
      <c r="Q10" s="51">
        <f t="shared" si="4"/>
        <v>0.02391101877</v>
      </c>
      <c r="R10" s="55">
        <v>111.664</v>
      </c>
    </row>
    <row r="11" ht="22.5" customHeight="1">
      <c r="A11" s="5" t="s">
        <v>132</v>
      </c>
      <c r="B11" s="8" t="str">
        <f t="shared" si="1"/>
        <v>wzR4Ry1ykSY</v>
      </c>
      <c r="C11" s="5" t="s">
        <v>101</v>
      </c>
      <c r="D11" s="48">
        <v>42064.0</v>
      </c>
      <c r="E11" s="5">
        <v>4.0</v>
      </c>
      <c r="F11" s="5">
        <v>3624.0</v>
      </c>
      <c r="G11" s="5">
        <v>136.0</v>
      </c>
      <c r="H11" s="5">
        <v>13.0</v>
      </c>
      <c r="I11" s="49">
        <f t="shared" si="2"/>
        <v>3.752759382</v>
      </c>
      <c r="J11" s="5">
        <v>120.0</v>
      </c>
      <c r="K11" s="5">
        <v>214.0</v>
      </c>
      <c r="L11" s="5">
        <v>102.0</v>
      </c>
      <c r="M11" s="5">
        <v>365.0</v>
      </c>
      <c r="N11" s="49">
        <f t="shared" si="3"/>
        <v>263</v>
      </c>
      <c r="O11" s="5">
        <v>34.0</v>
      </c>
      <c r="P11" s="5">
        <v>6.325</v>
      </c>
      <c r="Q11" s="51">
        <f t="shared" si="4"/>
        <v>0.05833148886</v>
      </c>
      <c r="R11" s="55">
        <v>108.431999999999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133</v>
      </c>
      <c r="B2" s="8" t="str">
        <f t="shared" ref="B2:B11" si="1">HYPERLINK("https://www.youtube.com/watch?v="&amp;A2, A2)</f>
        <v>2On1HNqNRxU</v>
      </c>
      <c r="C2" s="5" t="s">
        <v>101</v>
      </c>
      <c r="D2" s="48">
        <v>40848.0</v>
      </c>
      <c r="E2" s="5">
        <v>982.0</v>
      </c>
      <c r="F2" s="5">
        <v>14569.0</v>
      </c>
      <c r="G2" s="5">
        <v>253.0</v>
      </c>
      <c r="H2" s="5">
        <v>33.0</v>
      </c>
      <c r="I2" s="49">
        <f t="shared" ref="I2:I11" si="2">(G2/F2)*100</f>
        <v>1.736563937</v>
      </c>
      <c r="J2" s="5">
        <v>120.0</v>
      </c>
      <c r="K2" s="5">
        <v>241.0</v>
      </c>
      <c r="L2" s="5">
        <v>163.0</v>
      </c>
      <c r="M2" s="5">
        <v>447.0</v>
      </c>
      <c r="N2" s="49">
        <f t="shared" ref="N2:N11" si="3">M2-L2</f>
        <v>284</v>
      </c>
      <c r="O2" s="5">
        <v>48.0</v>
      </c>
      <c r="P2" s="5">
        <v>8.13</v>
      </c>
      <c r="Q2" s="51">
        <f t="shared" ref="Q2:Q11" si="4">DIVIDE(P2,R2)</f>
        <v>0.1446001707</v>
      </c>
      <c r="R2" s="55">
        <v>56.224</v>
      </c>
    </row>
    <row r="3" ht="22.5" customHeight="1">
      <c r="A3" s="5" t="s">
        <v>134</v>
      </c>
      <c r="B3" s="8" t="str">
        <f t="shared" si="1"/>
        <v>2SjuIhC4g5c</v>
      </c>
      <c r="C3" s="5" t="s">
        <v>135</v>
      </c>
      <c r="D3" s="48">
        <v>40850.0</v>
      </c>
      <c r="E3" s="5">
        <v>984.0</v>
      </c>
      <c r="F3" s="5">
        <v>2836.0</v>
      </c>
      <c r="G3" s="5">
        <v>77.0</v>
      </c>
      <c r="H3" s="5">
        <v>2.0</v>
      </c>
      <c r="I3" s="49">
        <f t="shared" si="2"/>
        <v>2.715091678</v>
      </c>
      <c r="J3" s="5">
        <v>120.0</v>
      </c>
      <c r="K3" s="5">
        <v>221.0</v>
      </c>
      <c r="L3" s="5">
        <v>163.0</v>
      </c>
      <c r="M3" s="5">
        <v>410.0</v>
      </c>
      <c r="N3" s="49">
        <f t="shared" si="3"/>
        <v>247</v>
      </c>
      <c r="O3" s="5">
        <v>43.0</v>
      </c>
      <c r="P3" s="5">
        <v>7.535</v>
      </c>
      <c r="Q3" s="51">
        <f t="shared" si="4"/>
        <v>0.1397855447</v>
      </c>
      <c r="R3" s="55">
        <v>53.904</v>
      </c>
    </row>
    <row r="4" ht="22.5" customHeight="1">
      <c r="A4" s="5" t="s">
        <v>136</v>
      </c>
      <c r="B4" s="8" t="str">
        <f t="shared" si="1"/>
        <v>8aSEpxvp-EE</v>
      </c>
      <c r="C4" s="5" t="s">
        <v>131</v>
      </c>
      <c r="D4" s="48">
        <v>40851.0</v>
      </c>
      <c r="E4" s="5">
        <v>985.0</v>
      </c>
      <c r="F4" s="5">
        <v>2136.0</v>
      </c>
      <c r="G4" s="5">
        <v>68.0</v>
      </c>
      <c r="H4" s="5">
        <v>4.0</v>
      </c>
      <c r="I4" s="49">
        <f t="shared" si="2"/>
        <v>3.183520599</v>
      </c>
      <c r="J4" s="5">
        <v>120.0</v>
      </c>
      <c r="K4" s="5">
        <v>222.0</v>
      </c>
      <c r="L4" s="5">
        <v>100.0</v>
      </c>
      <c r="M4" s="5">
        <v>464.0</v>
      </c>
      <c r="N4" s="49">
        <f t="shared" si="3"/>
        <v>364</v>
      </c>
      <c r="O4" s="5">
        <v>45.0</v>
      </c>
      <c r="P4" s="5">
        <v>9.16</v>
      </c>
      <c r="Q4" s="51">
        <f t="shared" si="4"/>
        <v>0.1283200717</v>
      </c>
      <c r="R4" s="55">
        <v>71.384</v>
      </c>
    </row>
    <row r="5" ht="22.5" customHeight="1">
      <c r="A5" s="5" t="s">
        <v>206</v>
      </c>
      <c r="B5" s="8" t="str">
        <f t="shared" si="1"/>
        <v>BFZJaAnPp44</v>
      </c>
      <c r="C5" s="5" t="s">
        <v>92</v>
      </c>
      <c r="D5" s="48">
        <v>45695.0</v>
      </c>
      <c r="E5" s="5">
        <v>5829.0</v>
      </c>
      <c r="F5" s="5">
        <v>4603.0</v>
      </c>
      <c r="G5" s="5">
        <v>379.0</v>
      </c>
      <c r="H5" s="5">
        <v>34.0</v>
      </c>
      <c r="I5" s="49">
        <f t="shared" si="2"/>
        <v>8.233760591</v>
      </c>
      <c r="J5" s="5">
        <v>120.0</v>
      </c>
      <c r="K5" s="5">
        <v>225.0</v>
      </c>
      <c r="L5" s="5">
        <v>102.0</v>
      </c>
      <c r="M5" s="5">
        <v>451.0</v>
      </c>
      <c r="N5" s="49">
        <f t="shared" si="3"/>
        <v>349</v>
      </c>
      <c r="O5" s="5">
        <v>45.0</v>
      </c>
      <c r="P5" s="5">
        <v>12.345</v>
      </c>
      <c r="Q5" s="51">
        <f t="shared" si="4"/>
        <v>0.1181656329</v>
      </c>
      <c r="R5" s="55">
        <v>104.472</v>
      </c>
    </row>
    <row r="6" ht="22.5" customHeight="1">
      <c r="A6" s="5" t="s">
        <v>206</v>
      </c>
      <c r="B6" s="8" t="str">
        <f t="shared" si="1"/>
        <v>BFZJaAnPp44</v>
      </c>
      <c r="C6" s="5" t="s">
        <v>186</v>
      </c>
      <c r="D6" s="48">
        <v>45695.0</v>
      </c>
      <c r="E6" s="5">
        <v>5829.0</v>
      </c>
      <c r="F6" s="5">
        <v>4603.0</v>
      </c>
      <c r="G6" s="5">
        <v>379.0</v>
      </c>
      <c r="H6" s="5">
        <v>34.0</v>
      </c>
      <c r="I6" s="49">
        <f t="shared" si="2"/>
        <v>8.233760591</v>
      </c>
      <c r="J6" s="5">
        <v>120.0</v>
      </c>
      <c r="K6" s="5">
        <v>185.0</v>
      </c>
      <c r="L6" s="5">
        <v>110.0</v>
      </c>
      <c r="M6" s="5">
        <v>361.0</v>
      </c>
      <c r="N6" s="49">
        <f t="shared" si="3"/>
        <v>251</v>
      </c>
      <c r="O6" s="5">
        <v>35.0</v>
      </c>
      <c r="P6" s="5">
        <v>16.465</v>
      </c>
      <c r="Q6" s="51">
        <f t="shared" si="4"/>
        <v>0.1482371795</v>
      </c>
      <c r="R6" s="55">
        <v>111.072</v>
      </c>
    </row>
    <row r="7" ht="22.5" customHeight="1">
      <c r="A7" s="5" t="s">
        <v>207</v>
      </c>
      <c r="B7" s="8" t="str">
        <f t="shared" si="1"/>
        <v>ctPaunqeej4</v>
      </c>
      <c r="C7" s="5" t="s">
        <v>73</v>
      </c>
      <c r="D7" s="48">
        <v>45670.0</v>
      </c>
      <c r="E7" s="5">
        <v>5804.0</v>
      </c>
      <c r="F7" s="5">
        <v>10035.0</v>
      </c>
      <c r="G7" s="5">
        <v>1170.0</v>
      </c>
      <c r="H7" s="5">
        <v>186.0</v>
      </c>
      <c r="I7" s="49">
        <f t="shared" si="2"/>
        <v>11.65919283</v>
      </c>
      <c r="J7" s="5">
        <v>120.0</v>
      </c>
      <c r="K7" s="5">
        <v>233.0</v>
      </c>
      <c r="L7" s="5">
        <v>111.0</v>
      </c>
      <c r="M7" s="5">
        <v>439.0</v>
      </c>
      <c r="N7" s="49">
        <f t="shared" si="3"/>
        <v>328</v>
      </c>
      <c r="O7" s="5">
        <v>43.0</v>
      </c>
      <c r="P7" s="5">
        <v>12.185</v>
      </c>
      <c r="Q7" s="51">
        <f t="shared" si="4"/>
        <v>0.119865035</v>
      </c>
      <c r="R7" s="55">
        <v>101.655999999999</v>
      </c>
    </row>
    <row r="8" ht="22.5" customHeight="1">
      <c r="A8" s="5" t="s">
        <v>137</v>
      </c>
      <c r="B8" s="8" t="str">
        <f t="shared" si="1"/>
        <v>Jq8gy2T2kic</v>
      </c>
      <c r="C8" s="5" t="s">
        <v>138</v>
      </c>
      <c r="D8" s="48">
        <v>40852.0</v>
      </c>
      <c r="E8" s="5">
        <v>986.0</v>
      </c>
      <c r="F8" s="5">
        <v>2047.0</v>
      </c>
      <c r="G8" s="5">
        <v>68.0</v>
      </c>
      <c r="H8" s="5">
        <v>8.0</v>
      </c>
      <c r="I8" s="49">
        <f t="shared" si="2"/>
        <v>3.321934538</v>
      </c>
      <c r="J8" s="5">
        <v>120.0</v>
      </c>
      <c r="K8" s="5">
        <v>243.0</v>
      </c>
      <c r="L8" s="5">
        <v>108.0</v>
      </c>
      <c r="M8" s="5">
        <v>485.0</v>
      </c>
      <c r="N8" s="49">
        <f t="shared" si="3"/>
        <v>377</v>
      </c>
      <c r="O8" s="5">
        <v>48.0</v>
      </c>
      <c r="P8" s="5">
        <v>8.895</v>
      </c>
      <c r="Q8" s="51">
        <f t="shared" si="4"/>
        <v>0.1247195738</v>
      </c>
      <c r="R8" s="55">
        <v>71.32</v>
      </c>
    </row>
    <row r="9" ht="22.5" customHeight="1">
      <c r="A9" s="5" t="s">
        <v>208</v>
      </c>
      <c r="B9" s="8" t="str">
        <f t="shared" si="1"/>
        <v>Lu6pVJ2Vd6E</v>
      </c>
      <c r="C9" s="5" t="s">
        <v>125</v>
      </c>
      <c r="D9" s="48">
        <v>45692.0</v>
      </c>
      <c r="E9" s="5">
        <v>5826.0</v>
      </c>
      <c r="F9" s="5">
        <v>11246.0</v>
      </c>
      <c r="G9" s="5">
        <v>1014.0</v>
      </c>
      <c r="H9" s="5">
        <v>158.0</v>
      </c>
      <c r="I9" s="49">
        <f t="shared" si="2"/>
        <v>9.016539214</v>
      </c>
      <c r="J9" s="5">
        <v>120.0</v>
      </c>
      <c r="K9" s="5">
        <v>221.0</v>
      </c>
      <c r="L9" s="5">
        <v>155.0</v>
      </c>
      <c r="M9" s="5">
        <v>440.0</v>
      </c>
      <c r="N9" s="49">
        <f t="shared" si="3"/>
        <v>285</v>
      </c>
      <c r="O9" s="5">
        <v>40.0</v>
      </c>
      <c r="P9" s="5">
        <v>11.92</v>
      </c>
      <c r="Q9" s="51">
        <f t="shared" si="4"/>
        <v>0.112308736</v>
      </c>
      <c r="R9" s="55">
        <v>106.136</v>
      </c>
    </row>
    <row r="10" ht="22.5" customHeight="1">
      <c r="A10" s="5" t="s">
        <v>208</v>
      </c>
      <c r="B10" s="8" t="str">
        <f t="shared" si="1"/>
        <v>Lu6pVJ2Vd6E</v>
      </c>
      <c r="C10" s="5" t="s">
        <v>153</v>
      </c>
      <c r="D10" s="48">
        <v>45692.0</v>
      </c>
      <c r="E10" s="5">
        <v>5826.0</v>
      </c>
      <c r="F10" s="5">
        <v>11246.0</v>
      </c>
      <c r="G10" s="5">
        <v>1014.0</v>
      </c>
      <c r="H10" s="5">
        <v>158.0</v>
      </c>
      <c r="I10" s="49">
        <f t="shared" si="2"/>
        <v>9.016539214</v>
      </c>
      <c r="J10" s="5">
        <v>120.0</v>
      </c>
      <c r="K10" s="5">
        <v>218.0</v>
      </c>
      <c r="L10" s="5">
        <v>154.0</v>
      </c>
      <c r="M10" s="5">
        <v>402.0</v>
      </c>
      <c r="N10" s="49">
        <f t="shared" si="3"/>
        <v>248</v>
      </c>
      <c r="O10" s="5">
        <v>37.0</v>
      </c>
      <c r="P10" s="5">
        <v>12.82</v>
      </c>
      <c r="Q10" s="51">
        <f t="shared" si="4"/>
        <v>0.1229665439</v>
      </c>
      <c r="R10" s="55">
        <v>104.255999999999</v>
      </c>
    </row>
    <row r="11" ht="22.5" customHeight="1">
      <c r="A11" s="5" t="s">
        <v>139</v>
      </c>
      <c r="B11" s="8" t="str">
        <f t="shared" si="1"/>
        <v>NkLSHgKAcWw</v>
      </c>
      <c r="C11" s="5" t="s">
        <v>77</v>
      </c>
      <c r="D11" s="48">
        <v>40849.0</v>
      </c>
      <c r="E11" s="5">
        <v>983.0</v>
      </c>
      <c r="F11" s="5">
        <v>5616.0</v>
      </c>
      <c r="G11" s="5">
        <v>133.0</v>
      </c>
      <c r="H11" s="5">
        <v>6.0</v>
      </c>
      <c r="I11" s="49">
        <f t="shared" si="2"/>
        <v>2.368233618</v>
      </c>
      <c r="J11" s="5">
        <v>120.0</v>
      </c>
      <c r="K11" s="5">
        <v>224.0</v>
      </c>
      <c r="L11" s="5">
        <v>160.0</v>
      </c>
      <c r="M11" s="5">
        <v>434.0</v>
      </c>
      <c r="N11" s="49">
        <f t="shared" si="3"/>
        <v>274</v>
      </c>
      <c r="O11" s="5">
        <v>42.0</v>
      </c>
      <c r="P11" s="5">
        <v>10.77</v>
      </c>
      <c r="Q11" s="51">
        <f t="shared" si="4"/>
        <v>0.1772314376</v>
      </c>
      <c r="R11" s="55">
        <v>60.768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22.63"/>
    <col customWidth="1" min="2" max="18" width="22.63"/>
  </cols>
  <sheetData>
    <row r="1" ht="22.5" customHeight="1">
      <c r="A1" s="47" t="s">
        <v>40</v>
      </c>
      <c r="B1" s="47" t="s">
        <v>41</v>
      </c>
      <c r="C1" s="47" t="s">
        <v>42</v>
      </c>
      <c r="D1" s="47" t="s">
        <v>43</v>
      </c>
      <c r="E1" s="47" t="s">
        <v>45</v>
      </c>
      <c r="F1" s="47" t="s">
        <v>46</v>
      </c>
      <c r="G1" s="47" t="s">
        <v>47</v>
      </c>
      <c r="H1" s="47" t="s">
        <v>48</v>
      </c>
      <c r="I1" s="47" t="s">
        <v>49</v>
      </c>
      <c r="J1" s="47" t="s">
        <v>50</v>
      </c>
      <c r="K1" s="47" t="s">
        <v>51</v>
      </c>
      <c r="L1" s="47" t="s">
        <v>52</v>
      </c>
      <c r="M1" s="47" t="s">
        <v>53</v>
      </c>
      <c r="N1" s="47" t="s">
        <v>54</v>
      </c>
      <c r="O1" s="47" t="s">
        <v>55</v>
      </c>
      <c r="P1" s="47" t="s">
        <v>56</v>
      </c>
      <c r="Q1" s="47" t="s">
        <v>57</v>
      </c>
      <c r="R1" s="47" t="s">
        <v>58</v>
      </c>
    </row>
    <row r="2" ht="22.5" customHeight="1">
      <c r="A2" s="5" t="s">
        <v>141</v>
      </c>
      <c r="B2" s="8" t="str">
        <f t="shared" ref="B2:B11" si="1">HYPERLINK("https://www.youtube.com/watch?v="&amp;A2, A2)</f>
        <v>ap556Zd-uME</v>
      </c>
      <c r="C2" s="5" t="s">
        <v>142</v>
      </c>
      <c r="D2" s="48">
        <v>45224.0</v>
      </c>
      <c r="E2" s="5">
        <v>4319.0</v>
      </c>
      <c r="F2" s="5">
        <v>423.0</v>
      </c>
      <c r="G2" s="5">
        <v>29.0</v>
      </c>
      <c r="H2" s="5">
        <v>12.0</v>
      </c>
      <c r="I2" s="49">
        <f t="shared" ref="I2:I11" si="2">(G2/F2)*100</f>
        <v>6.855791962</v>
      </c>
      <c r="J2" s="5">
        <v>120.0</v>
      </c>
      <c r="K2" s="5">
        <v>192.0</v>
      </c>
      <c r="L2" s="5">
        <v>90.0</v>
      </c>
      <c r="M2" s="5">
        <v>360.0</v>
      </c>
      <c r="N2" s="49">
        <f t="shared" ref="N2:N11" si="3">M2-L2</f>
        <v>270</v>
      </c>
      <c r="O2" s="5">
        <v>31.0</v>
      </c>
      <c r="P2" s="5">
        <v>10.275</v>
      </c>
      <c r="Q2" s="51">
        <f t="shared" ref="Q2:Q11" si="4">DIVIDE(P2,R2)</f>
        <v>0.09063404135</v>
      </c>
      <c r="R2" s="55">
        <v>113.368</v>
      </c>
    </row>
    <row r="3" ht="22.5" customHeight="1">
      <c r="A3" s="5" t="s">
        <v>141</v>
      </c>
      <c r="B3" s="8" t="str">
        <f t="shared" si="1"/>
        <v>ap556Zd-uME</v>
      </c>
      <c r="C3" s="5" t="s">
        <v>144</v>
      </c>
      <c r="D3" s="48">
        <v>45224.0</v>
      </c>
      <c r="E3" s="5">
        <v>4319.0</v>
      </c>
      <c r="F3" s="5">
        <v>423.0</v>
      </c>
      <c r="G3" s="5">
        <v>29.0</v>
      </c>
      <c r="H3" s="5">
        <v>12.0</v>
      </c>
      <c r="I3" s="49">
        <f t="shared" si="2"/>
        <v>6.855791962</v>
      </c>
      <c r="J3" s="5">
        <v>120.0</v>
      </c>
      <c r="K3" s="5">
        <v>197.0</v>
      </c>
      <c r="L3" s="5">
        <v>92.0</v>
      </c>
      <c r="M3" s="5">
        <v>440.0</v>
      </c>
      <c r="N3" s="49">
        <f t="shared" si="3"/>
        <v>348</v>
      </c>
      <c r="O3" s="5">
        <v>33.0</v>
      </c>
      <c r="P3" s="5">
        <v>17.095</v>
      </c>
      <c r="Q3" s="51">
        <f t="shared" si="4"/>
        <v>0.1568118441</v>
      </c>
      <c r="R3" s="55">
        <v>109.016</v>
      </c>
    </row>
    <row r="4" ht="22.5" customHeight="1">
      <c r="A4" s="5" t="s">
        <v>209</v>
      </c>
      <c r="B4" s="8" t="str">
        <f t="shared" si="1"/>
        <v>bESQE7Tso8s</v>
      </c>
      <c r="C4" s="5" t="s">
        <v>183</v>
      </c>
      <c r="D4" s="48">
        <v>45826.0</v>
      </c>
      <c r="E4" s="5">
        <v>4921.0</v>
      </c>
      <c r="F4" s="5">
        <v>275.0</v>
      </c>
      <c r="G4" s="5">
        <v>23.0</v>
      </c>
      <c r="H4" s="5">
        <v>13.0</v>
      </c>
      <c r="I4" s="49">
        <f t="shared" si="2"/>
        <v>8.363636364</v>
      </c>
      <c r="J4" s="5">
        <v>120.0</v>
      </c>
      <c r="K4" s="5">
        <v>193.0</v>
      </c>
      <c r="L4" s="5">
        <v>96.0</v>
      </c>
      <c r="M4" s="5">
        <v>409.0</v>
      </c>
      <c r="N4" s="49">
        <f t="shared" si="3"/>
        <v>313</v>
      </c>
      <c r="O4" s="5">
        <v>30.0</v>
      </c>
      <c r="P4" s="5">
        <v>7.415</v>
      </c>
      <c r="Q4" s="51">
        <f t="shared" si="4"/>
        <v>0.06612506242</v>
      </c>
      <c r="R4" s="55">
        <v>112.135999999999</v>
      </c>
    </row>
    <row r="5" ht="22.5" customHeight="1">
      <c r="A5" s="5" t="s">
        <v>209</v>
      </c>
      <c r="B5" s="8" t="str">
        <f t="shared" si="1"/>
        <v>bESQE7Tso8s</v>
      </c>
      <c r="C5" s="5" t="s">
        <v>210</v>
      </c>
      <c r="D5" s="48">
        <v>45826.0</v>
      </c>
      <c r="E5" s="5">
        <v>4921.0</v>
      </c>
      <c r="F5" s="5">
        <v>274.0</v>
      </c>
      <c r="G5" s="5">
        <v>23.0</v>
      </c>
      <c r="H5" s="5">
        <v>13.0</v>
      </c>
      <c r="I5" s="49">
        <f t="shared" si="2"/>
        <v>8.394160584</v>
      </c>
      <c r="J5" s="5">
        <v>120.0</v>
      </c>
      <c r="K5" s="5">
        <v>203.0</v>
      </c>
      <c r="L5" s="5">
        <v>90.0</v>
      </c>
      <c r="M5" s="5">
        <v>421.0</v>
      </c>
      <c r="N5" s="49">
        <f t="shared" si="3"/>
        <v>331</v>
      </c>
      <c r="O5" s="5">
        <v>35.0</v>
      </c>
      <c r="P5" s="5">
        <v>7.85</v>
      </c>
      <c r="Q5" s="51">
        <f t="shared" si="4"/>
        <v>0.0712289489</v>
      </c>
      <c r="R5" s="55">
        <v>110.207999999999</v>
      </c>
    </row>
    <row r="6" ht="22.5" customHeight="1">
      <c r="A6" s="5" t="s">
        <v>211</v>
      </c>
      <c r="B6" s="8" t="str">
        <f t="shared" si="1"/>
        <v>cPz3zvfe9aI</v>
      </c>
      <c r="C6" s="5" t="s">
        <v>92</v>
      </c>
      <c r="D6" s="48">
        <v>45877.0</v>
      </c>
      <c r="E6" s="5">
        <v>4973.0</v>
      </c>
      <c r="F6" s="5">
        <v>527.0</v>
      </c>
      <c r="G6" s="5">
        <v>31.0</v>
      </c>
      <c r="H6" s="5">
        <v>23.0</v>
      </c>
      <c r="I6" s="49">
        <f t="shared" si="2"/>
        <v>5.882352941</v>
      </c>
      <c r="J6" s="5">
        <v>120.0</v>
      </c>
      <c r="K6" s="5">
        <v>199.0</v>
      </c>
      <c r="L6" s="5">
        <v>102.0</v>
      </c>
      <c r="M6" s="5">
        <v>381.0</v>
      </c>
      <c r="N6" s="49">
        <f t="shared" si="3"/>
        <v>279</v>
      </c>
      <c r="O6" s="5">
        <v>36.0</v>
      </c>
      <c r="P6" s="5">
        <v>15.36</v>
      </c>
      <c r="Q6" s="51">
        <f t="shared" si="4"/>
        <v>0.1368593627</v>
      </c>
      <c r="R6" s="55">
        <v>112.232</v>
      </c>
    </row>
    <row r="7" ht="22.5" customHeight="1">
      <c r="A7" s="5" t="s">
        <v>211</v>
      </c>
      <c r="B7" s="8" t="str">
        <f t="shared" si="1"/>
        <v>cPz3zvfe9aI</v>
      </c>
      <c r="C7" s="5" t="s">
        <v>212</v>
      </c>
      <c r="D7" s="48">
        <v>45877.0</v>
      </c>
      <c r="E7" s="5">
        <v>4973.0</v>
      </c>
      <c r="F7" s="5">
        <v>527.0</v>
      </c>
      <c r="G7" s="5">
        <v>31.0</v>
      </c>
      <c r="H7" s="5">
        <v>23.0</v>
      </c>
      <c r="I7" s="49">
        <f t="shared" si="2"/>
        <v>5.882352941</v>
      </c>
      <c r="J7" s="5">
        <v>120.0</v>
      </c>
      <c r="K7" s="5">
        <v>204.0</v>
      </c>
      <c r="L7" s="5">
        <v>100.0</v>
      </c>
      <c r="M7" s="5">
        <v>333.0</v>
      </c>
      <c r="N7" s="49">
        <f t="shared" si="3"/>
        <v>233</v>
      </c>
      <c r="O7" s="5">
        <v>40.0</v>
      </c>
      <c r="P7" s="5">
        <v>19.22</v>
      </c>
      <c r="Q7" s="51">
        <f t="shared" si="4"/>
        <v>0.176667402</v>
      </c>
      <c r="R7" s="55">
        <v>108.792</v>
      </c>
    </row>
    <row r="8" ht="22.5" customHeight="1">
      <c r="A8" s="5" t="s">
        <v>145</v>
      </c>
      <c r="B8" s="8" t="str">
        <f t="shared" si="1"/>
        <v>FrGYT_mcduk</v>
      </c>
      <c r="C8" s="5" t="s">
        <v>64</v>
      </c>
      <c r="D8" s="48">
        <v>45271.0</v>
      </c>
      <c r="E8" s="5">
        <v>4366.0</v>
      </c>
      <c r="F8" s="5">
        <v>281.0</v>
      </c>
      <c r="G8" s="5">
        <v>21.0</v>
      </c>
      <c r="H8" s="5">
        <v>14.0</v>
      </c>
      <c r="I8" s="49">
        <f t="shared" si="2"/>
        <v>7.473309609</v>
      </c>
      <c r="J8" s="5">
        <v>120.0</v>
      </c>
      <c r="K8" s="5">
        <v>189.0</v>
      </c>
      <c r="L8" s="5">
        <v>89.0</v>
      </c>
      <c r="M8" s="5">
        <v>318.0</v>
      </c>
      <c r="N8" s="49">
        <f t="shared" si="3"/>
        <v>229</v>
      </c>
      <c r="O8" s="5">
        <v>32.0</v>
      </c>
      <c r="P8" s="5">
        <v>12.855</v>
      </c>
      <c r="Q8" s="51">
        <f t="shared" si="4"/>
        <v>0.1161876356</v>
      </c>
      <c r="R8" s="55">
        <v>110.639999999999</v>
      </c>
    </row>
    <row r="9" ht="22.5" customHeight="1">
      <c r="A9" s="5" t="s">
        <v>145</v>
      </c>
      <c r="B9" s="8" t="str">
        <f t="shared" si="1"/>
        <v>FrGYT_mcduk</v>
      </c>
      <c r="C9" s="5" t="s">
        <v>146</v>
      </c>
      <c r="D9" s="48">
        <v>45271.0</v>
      </c>
      <c r="E9" s="5">
        <v>4366.0</v>
      </c>
      <c r="F9" s="5">
        <v>281.0</v>
      </c>
      <c r="G9" s="5">
        <v>21.0</v>
      </c>
      <c r="H9" s="5">
        <v>14.0</v>
      </c>
      <c r="I9" s="49">
        <f t="shared" si="2"/>
        <v>7.473309609</v>
      </c>
      <c r="J9" s="5">
        <v>120.0</v>
      </c>
      <c r="K9" s="5">
        <v>194.0</v>
      </c>
      <c r="L9" s="5">
        <v>89.0</v>
      </c>
      <c r="M9" s="5">
        <v>378.0</v>
      </c>
      <c r="N9" s="49">
        <f t="shared" si="3"/>
        <v>289</v>
      </c>
      <c r="O9" s="5">
        <v>28.0</v>
      </c>
      <c r="P9" s="5">
        <v>9.845</v>
      </c>
      <c r="Q9" s="51">
        <f t="shared" si="4"/>
        <v>0.08510546335</v>
      </c>
      <c r="R9" s="55">
        <v>115.679999999999</v>
      </c>
    </row>
    <row r="10" ht="22.5" customHeight="1">
      <c r="A10" s="5" t="s">
        <v>213</v>
      </c>
      <c r="B10" s="8" t="str">
        <f t="shared" si="1"/>
        <v>LRDGsvZECnY</v>
      </c>
      <c r="C10" s="5" t="s">
        <v>94</v>
      </c>
      <c r="D10" s="48">
        <v>45865.0</v>
      </c>
      <c r="E10" s="5">
        <v>4960.0</v>
      </c>
      <c r="F10" s="5">
        <v>568.0</v>
      </c>
      <c r="G10" s="5">
        <v>42.0</v>
      </c>
      <c r="H10" s="5">
        <v>13.0</v>
      </c>
      <c r="I10" s="49">
        <f t="shared" si="2"/>
        <v>7.394366197</v>
      </c>
      <c r="J10" s="5">
        <v>120.0</v>
      </c>
      <c r="K10" s="5">
        <v>202.0</v>
      </c>
      <c r="L10" s="5">
        <v>101.0</v>
      </c>
      <c r="M10" s="5">
        <v>400.0</v>
      </c>
      <c r="N10" s="49">
        <f t="shared" si="3"/>
        <v>299</v>
      </c>
      <c r="O10" s="5">
        <v>33.0</v>
      </c>
      <c r="P10" s="5">
        <v>9.8</v>
      </c>
      <c r="Q10" s="51">
        <f t="shared" si="4"/>
        <v>0.0851226461</v>
      </c>
      <c r="R10" s="55">
        <v>115.128</v>
      </c>
    </row>
    <row r="11" ht="22.5" customHeight="1">
      <c r="A11" s="5" t="s">
        <v>147</v>
      </c>
      <c r="B11" s="8" t="str">
        <f t="shared" si="1"/>
        <v>mwBRt0y4h6E</v>
      </c>
      <c r="C11" s="5" t="s">
        <v>148</v>
      </c>
      <c r="D11" s="48">
        <v>45242.0</v>
      </c>
      <c r="E11" s="5">
        <v>4338.0</v>
      </c>
      <c r="F11" s="5">
        <v>457.0</v>
      </c>
      <c r="G11" s="5">
        <v>18.0</v>
      </c>
      <c r="H11" s="5">
        <v>9.0</v>
      </c>
      <c r="I11" s="49">
        <f t="shared" si="2"/>
        <v>3.938730853</v>
      </c>
      <c r="J11" s="5">
        <v>120.0</v>
      </c>
      <c r="K11" s="5">
        <v>188.0</v>
      </c>
      <c r="L11" s="5">
        <v>103.0</v>
      </c>
      <c r="M11" s="5">
        <v>315.0</v>
      </c>
      <c r="N11" s="49">
        <f t="shared" si="3"/>
        <v>212</v>
      </c>
      <c r="O11" s="5">
        <v>25.0</v>
      </c>
      <c r="P11" s="5">
        <v>7.43</v>
      </c>
      <c r="Q11" s="51">
        <f t="shared" si="4"/>
        <v>0.0628553059</v>
      </c>
      <c r="R11" s="55">
        <v>118.207999999999</v>
      </c>
    </row>
  </sheetData>
  <drawing r:id="rId1"/>
  <tableParts count="1">
    <tablePart r:id="rId3"/>
  </tableParts>
</worksheet>
</file>